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SD" state="visible" r:id="rId5"/>
    <sheet sheetId="3" name="ICD" state="visible" r:id="rId6"/>
    <sheet sheetId="4" name="ISE" state="visible" r:id="rId7"/>
    <sheet sheetId="5" name="CSD" state="visible" r:id="rId8"/>
    <sheet sheetId="6" name="CCD" state="visible" r:id="rId9"/>
    <sheet sheetId="7" name="CSE" state="visible" r:id="rId10"/>
    <sheet sheetId="8" name="Analítico" state="visible" r:id="rId11"/>
  </sheets>
  <calcPr calcId="171027"/>
</workbook>
</file>

<file path=xl/sharedStrings.xml><?xml version="1.0" encoding="utf-8"?>
<sst xmlns="http://schemas.openxmlformats.org/spreadsheetml/2006/main" count="1436" uniqueCount="173">
  <si>
    <t>SINAPI</t>
  </si>
  <si>
    <t>Sistema Nacional de Pesquisa de Custos e Índices da Construção Civil</t>
  </si>
  <si>
    <t>Permite a pesquisa de insumos ou composições, por termos não consecutivos, com filtro "contém" e "não contém"</t>
  </si>
  <si>
    <t>Relatório de preços de insumos sem desoneração para as 27 UF. Inclui link para as fichas de especificação técnica dos insumos.</t>
  </si>
  <si>
    <t>Relatório de preços de insumos com desoneração para as 27 UF. Inclui link para as fichas de especificação técnica dos insumos.</t>
  </si>
  <si>
    <t>SINAPI - Sistema Nacional de Pesquisa de Custos e Índices da Construção Civil</t>
  </si>
  <si>
    <t>RELATÓRIO DE PREÇOS DE INSUMOS - ENCARGOS SOCIAIS SEM DESONERAÇÃO</t>
  </si>
  <si>
    <t>Mês de Referência:</t>
  </si>
  <si>
    <t>08/2026</t>
  </si>
  <si>
    <t>Encargos sociais sobre a mão de obra:</t>
  </si>
  <si>
    <t>Data de emissão:</t>
  </si>
  <si>
    <t>11/09/2026</t>
  </si>
  <si>
    <t>(SEM DESONERAÇÃO)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</si>
  <si>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</si>
  <si>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</si>
  <si>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</si>
  <si>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</si>
  <si>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</si>
  <si>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</si>
  <si>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</si>
  <si>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</si>
  <si>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</si>
  <si>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</si>
  <si>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</si>
  <si>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</si>
  <si>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</si>
  <si>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</si>
  <si>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</si>
  <si>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</si>
  <si>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</si>
  <si>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</si>
  <si>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</si>
  <si>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</si>
  <si>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</si>
  <si>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</si>
  <si>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</si>
  <si>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</si>
  <si>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</si>
  <si>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</si>
  <si>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</si>
  <si>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Localidade</t>
  </si>
  <si>
    <t>RIO BRANCO</t>
  </si>
  <si>
    <t>MACEIO</t>
  </si>
  <si>
    <t>MANAUS</t>
  </si>
  <si>
    <t>MACAPA</t>
  </si>
  <si>
    <t>SALVADOR</t>
  </si>
  <si>
    <t>FORTALEZA</t>
  </si>
  <si>
    <t>BRASILIA</t>
  </si>
  <si>
    <t>VITORIA</t>
  </si>
  <si>
    <t>GOIANIA</t>
  </si>
  <si>
    <t>SAO LUIS</t>
  </si>
  <si>
    <t>BELO HORIZONTE</t>
  </si>
  <si>
    <t>CAMPO GRANDE</t>
  </si>
  <si>
    <t>CUIABA</t>
  </si>
  <si>
    <t>BELEM</t>
  </si>
  <si>
    <t>JOAO PESSOA</t>
  </si>
  <si>
    <t>RECIFE</t>
  </si>
  <si>
    <t>TERESINA</t>
  </si>
  <si>
    <t>CURITIBA</t>
  </si>
  <si>
    <t>RIO DE JANEIRO</t>
  </si>
  <si>
    <t>NATAL</t>
  </si>
  <si>
    <t>PORTO VELHO</t>
  </si>
  <si>
    <t>BOA VISTA</t>
  </si>
  <si>
    <t>PORTO ALEGRE</t>
  </si>
  <si>
    <t>FLORIANOPOLIS</t>
  </si>
  <si>
    <t>ARACAJU</t>
  </si>
  <si>
    <t>SAO PAULO</t>
  </si>
  <si>
    <t>PALMAS</t>
  </si>
  <si>
    <t>Origem de preço:</t>
  </si>
  <si>
    <t>C = COLETADO</t>
  </si>
  <si>
    <t>CR = COEFICIENTE DE REPRESENTATIVIDADE</t>
  </si>
  <si>
    <t>Horista</t>
  </si>
  <si>
    <t>Preço em branco para determinado estado significa que não houve coleta mínima de preços no mês de referência</t>
  </si>
  <si>
    <t>Mensalista</t>
  </si>
  <si>
    <t>Acessar Fichas de Especificação Técnico dos Insumos</t>
  </si>
  <si>
    <t>Preços Medianos (R$):</t>
  </si>
  <si>
    <t>Classificação</t>
  </si>
  <si>
    <t xml:space="preserve">Código do
Insumo</t>
  </si>
  <si>
    <t>Descrição do Insumo</t>
  </si>
  <si>
    <t>Unidade</t>
  </si>
  <si>
    <t xml:space="preserve">Origem de
Preço</t>
  </si>
  <si>
    <t>ENCARGOS COMPLEMENTARES</t>
  </si>
  <si>
    <t>ALIMENTACAO - HORISTA (COLETADO CAIXA - ENCARGOS COMPLEMENTARES)</t>
  </si>
  <si>
    <t>H</t>
  </si>
  <si>
    <t>C</t>
  </si>
  <si>
    <t>MATERIAL</t>
  </si>
  <si>
    <t>AREIA MEDIA - POSTO JAZIDA/FORNECEDOR (RETIRADO NA JAZIDA, SEM TRANSPORTE)</t>
  </si>
  <si>
    <t>M3</t>
  </si>
  <si>
    <t>CR</t>
  </si>
  <si>
    <t>ARGAMASSA COLANTE AC II</t>
  </si>
  <si>
    <t>KG</t>
  </si>
  <si>
    <t>EQUIPAMENTO (AQUISIÇÃO)</t>
  </si>
  <si>
    <t>BETONEIRA, CAPACIDADE NOMINAL 400 L, CAPACIDADE DE MISTURA 280 L, MOTOR ELETRICO TRIFASICO 220/380 V, POTENCIA 2 CV, SEM CARREGADOR</t>
  </si>
  <si>
    <t>UN</t>
  </si>
  <si>
    <t>CAL HIDRATADA CH-I PARA ARGAMASSAS</t>
  </si>
  <si>
    <t>CIMENTO PORTLAND COMPOSTO CP II-32</t>
  </si>
  <si>
    <t>ESPECIAIS</t>
  </si>
  <si>
    <t>ENERGIA ELETRICA ATE 2000 KWH INDUSTRIAL, SEM DEMANDA</t>
  </si>
  <si>
    <t>KWH</t>
  </si>
  <si>
    <t>EPI - FAMILIA OPERADOR ESCAVADEIRA - HORISTA (ENCARGOS COMPLEMENTARES - COLETADO CAIXA)</t>
  </si>
  <si>
    <t>EPI - FAMILIA PEDREIRO - HORISTA (ENCARGOS COMPLEMENTARES - COLETADO CAIXA)</t>
  </si>
  <si>
    <t>EPI - FAMILIA SERVENTE - HORISTA (ENCARGOS COMPLEMENTARES - COLETADO CAIXA)</t>
  </si>
  <si>
    <t>EXAMES - HORISTA (COLETADO CAIXA - ENCARGOS COMPLEMENTARES)</t>
  </si>
  <si>
    <t>FERRAMENTAS - FAMILIA OPERADOR ESCAVADEIRA - HORISTA (ENCARGOS COMPLEMENTARES - COLETADO CAIXA)</t>
  </si>
  <si>
    <t>FERRAMENTAS - FAMILIA PEDREIRO - HORISTA (ENCARGOS COMPLEMENTARES - COLETADO CAIXA)</t>
  </si>
  <si>
    <t>FERRAMENTAS - FAMILIA SERVENTE - HORISTA (ENCARGOS COMPLEMENTARES - COLETADO CAIXA)</t>
  </si>
  <si>
    <t>MAO DE OBRA</t>
  </si>
  <si>
    <t>OPERADOR DE BETONEIRA ESTACIONARIA / MISTURADOR (HORISTA)</t>
  </si>
  <si>
    <t>PEDREIRO (HORISTA)</t>
  </si>
  <si>
    <t>PISO TATIL / PODOTATIL, LADRILHO HIDRAULICO/CONCRETO, *40 X 40* CM, E= 2,5* CM, PADRAO TATIL ALERTA OU DIRECIONAL, COR NATURAL</t>
  </si>
  <si>
    <t>REJUNTE CIMENTICIO, QUALQUER COR</t>
  </si>
  <si>
    <t>SEGURO - HORISTA (COLETADO CAIXA - ENCARGOS COMPLEMENTARES)</t>
  </si>
  <si>
    <t>SERVENTE DE OBRAS (HORISTA)</t>
  </si>
  <si>
    <t>TRANSPORTE - HORISTA (COLETADO CAIXA - ENCARGOS COMPLEMENTARES)</t>
  </si>
  <si>
    <t>RELATÓRIO DE PREÇOS DE INSUMOS - ENCARGOS SOCIAIS COM DESONERAÇÃO</t>
  </si>
  <si>
    <t>(COM DESONERAÇÃO)</t>
  </si>
  <si>
    <t>RELATÓRIO DE PREÇOS DE INSUMOS - SEM ENCARGOS SOCIAIS</t>
  </si>
  <si>
    <t>RELATÓRIO DE CUSTOS DE COMPOSIÇÕES - ENCARGOS SOCIAIS SEM DESONERAÇÃO</t>
  </si>
  <si>
    <t>Observação:</t>
  </si>
  <si>
    <t>%AS (porcentagem Atribuído São Paulo) corresponde a porcentagem do custo total da</t>
  </si>
  <si>
    <t>composição que foi obtida utilizando preços de insumos de São Paulo por indisponibilidade</t>
  </si>
  <si>
    <t>dos preços de insumos necessários à composição no estado em questão. Custo zerado (hífen)</t>
  </si>
  <si>
    <t>indica que pelo menos um dos itens da composição não tem custo/preço.</t>
  </si>
  <si>
    <t>Grupo</t>
  </si>
  <si>
    <t xml:space="preserve">Código da
Composição</t>
  </si>
  <si>
    <t>Descrição</t>
  </si>
  <si>
    <t>Custo (R$)</t>
  </si>
  <si>
    <t>%AS</t>
  </si>
  <si>
    <t>Acessibilidade</t>
  </si>
  <si>
    <t>PISO PODOTÁTIL DE ALERTA OU DIRECIONAL, DE CONCRETO, ASSENTADO SOBRE ARGAMASSA. AF_03/2024</t>
  </si>
  <si>
    <t>M2</t>
  </si>
  <si>
    <t>RAMPA DE ACESSIBILIDADE EM CONCRETO PRÉ MOLDADO, EM CALÇADA NOVA COM LARGURA MAIOR OU IGUAL À 3,00 M, FCK 25MPA, COM PISO PODOTÁTIL. AF_03/2024</t>
  </si>
  <si>
    <t>Argamassas</t>
  </si>
  <si>
    <t>ARGAMASSA TRAÇO 1:1:6 (EM VOLUME DE CIMENTO, CAL E AREIA MÉDIA ÚMIDA) PARA EMBOÇO/MASSA ÚNICA/ASSENTAMENTO DE ALVENARIA DE VEDAÇÃO, PREPARO MECÂNICO COM BETONEIRA ATÉ 600 L. AF_07/2026</t>
  </si>
  <si>
    <t>ARGAMASSA TRAÇO 1:6 (EM VOLUME DE CIMENTO E AREIA MÉDIA ÚMIDA) PARA CONTRAPISO, PREPARO MECÂNICO COM BETONEIRA ATÉ 600 L. AF_07/2026</t>
  </si>
  <si>
    <t>Custos Horários Produtivo e Improdutivo dos Equipamentos</t>
  </si>
  <si>
    <t>BETONEIRA CAPACIDADE NOMINAL DE 400 L, CAPACIDADE DE MISTURA 280 L, MOTOR ELÉTRICO TRIFÁSICO POTÊNCIA DE 2 CV, SEM CARREGADOR - CHI DIURNO. AF_05/2023</t>
  </si>
  <si>
    <t>CHI</t>
  </si>
  <si>
    <t>BETONEIRA CAPACIDADE NOMINAL DE 400 L, CAPACIDADE DE MISTURA 280 L, MOTOR ELÉTRICO TRIFÁSICO POTÊNCIA DE 2 CV, SEM CARREGADOR - CHP DIURNO. AF_05/2023</t>
  </si>
  <si>
    <t>CHP</t>
  </si>
  <si>
    <t>Depreciação, Juros, Impostos e Seguros, Manutenção e Materiais na Operação dos Equipamentos</t>
  </si>
  <si>
    <t>BETONEIRA CAPACIDADE NOMINAL DE 400 L, CAPACIDADE DE MISTURA 280 L, MOTOR ELÉTRICO TRIFÁSICO POTÊNCIA DE 2 CV, SEM CARREGADOR - DEPRECIAÇÃO. AF_05/2023</t>
  </si>
  <si>
    <t>BETONEIRA CAPACIDADE NOMINAL DE 400 L, CAPACIDADE DE MISTURA 280 L, MOTOR ELÉTRICO TRIFÁSICO POTÊNCIA DE 2 CV, SEM CARREGADOR - JUROS. AF_05/2023</t>
  </si>
  <si>
    <t>BETONEIRA CAPACIDADE NOMINAL DE 400 L, CAPACIDADE DE MISTURA 280 L, MOTOR ELÉTRICO TRIFÁSICO POTÊNCIA DE 2 CV, SEM CARREGADOR - MANUTENÇÃO. AF_05/2023</t>
  </si>
  <si>
    <t>BETONEIRA CAPACIDADE NOMINAL DE 400 L, CAPACIDADE DE MISTURA 280 L, MOTOR ELÉTRICO TRIFÁSICO POTÊNCIA DE 2 CV, SEM CARREGADOR - MATERIAIS NA OPERAÇÃO. AF_05/2023</t>
  </si>
  <si>
    <t>Livro SINAPI: Cálculos e Parâmetros</t>
  </si>
  <si>
    <t>CURSO DE CAPACITAÇÃO PARA OPERADOR DE BETONEIRA ESTACIONÁRIA/MISTURADOR (ENCARGOS COMPLEMENTARES) - HORISTA</t>
  </si>
  <si>
    <t>CURSO DE CAPACITAÇÃO PARA PEDREIRO (ENCARGOS COMPLEMENTARES) - HORISTA</t>
  </si>
  <si>
    <t>CURSO DE CAPACITAÇÃO PARA SERVENTE (ENCARGOS COMPLEMENTARES) - HORISTA</t>
  </si>
  <si>
    <t>OPERADOR DE BETONEIRA ESTACIONÁRIA/MISTURADOR COM ENCARGOS COMPLEMENTARES</t>
  </si>
  <si>
    <t>PEDREIRO COM ENCARGOS COMPLEMENTARES</t>
  </si>
  <si>
    <t>SERVENTE COM ENCARGOS COMPLEMENTARES</t>
  </si>
  <si>
    <t>RELATÓRIO DE CUSTOS DE COMPOSIÇÕES - ENCARGOS SOCIAIS COM DESONERAÇÃO</t>
  </si>
  <si>
    <t>RELATÓRIO DE CUSTOS DE COMPOSIÇÕES - SEM ENCARGOS SOCIAIS</t>
  </si>
  <si>
    <t>RELATÓRIO ANALÍTICO DE COMPOSIÇÕES</t>
  </si>
  <si>
    <t>Situações</t>
  </si>
  <si>
    <t>COM PREÇO</t>
  </si>
  <si>
    <t>Insumos com preço coletado ou obtidos por aplicação de coeficiente em pelo menos uma UF.</t>
  </si>
  <si>
    <t>SEM PREÇO</t>
  </si>
  <si>
    <t>Insumos necessários como item, mas ainda não participam do processo de coleta preços (não aparecem em outros relatórios).</t>
  </si>
  <si>
    <t>COM CUSTO</t>
  </si>
  <si>
    <t>Composições com custo calculado, com todos seus itens em situação COM CUSTO ou COM PREÇO.</t>
  </si>
  <si>
    <t>SEM CUSTO</t>
  </si>
  <si>
    <t>Composições sem custo calculado pela falta de custo/preço de pelo menos um de seus itens.</t>
  </si>
  <si>
    <t>EM ESTUDO</t>
  </si>
  <si>
    <t>Composições necessárias como item, porém atualmente em estudo (não aparecem em outros relatórios).</t>
  </si>
  <si>
    <t>Tipo Item</t>
  </si>
  <si>
    <t xml:space="preserve">Código do
Item</t>
  </si>
  <si>
    <t>Coeficiente</t>
  </si>
  <si>
    <t>Situação</t>
  </si>
  <si>
    <t>COMPOSICAO</t>
  </si>
  <si>
    <t>INSUMO</t>
  </si>
  <si>
    <t>KIT PECAS PRE MOLDADAS PARA RAMPA ACESSIVEL, DIMENSOES PADRAO DE 2,20 M X 1,20 M X 1,80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</si>
</sst>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FormatPr defaultRowHeight="15" outlineLevelRow="0" outlineLevelCol="0" x14ac:dyDescent="55"/>
  <sheetData>
    <row r="2" spans="4:4" x14ac:dyDescent="0.25">
      <c r="D2" t="s">
        <v>0</v>
      </c>
    </row>
    <row r="3" spans="4:4" x14ac:dyDescent="0.25">
      <c r="D3" t="s">
        <v>1</v>
      </c>
    </row>
    <row r="5" spans="2:4" x14ac:dyDescent="0.25">
      <c r="B5">
        <f>HYPERLINK("#Busca!$B$8","Pesquisa")</f>
      </c>
      <c r="D5" t="s">
        <v>2</v>
      </c>
    </row>
    <row r="7" spans="2:4" x14ac:dyDescent="0.25">
      <c r="B7">
        <f>HYPERLINK("#'ISD'!$F$11","Insumos Não Desonerado")</f>
      </c>
      <c r="D7" t="s">
        <v>3</v>
      </c>
    </row>
    <row r="9" spans="2:4" x14ac:dyDescent="0.25">
      <c r="B9">
        <f>HYPERLINK("#'ICD'!$F$11","Insumos Desonerado")</f>
      </c>
      <c r="D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6</v>
      </c>
    </row>
    <row r="3" spans="1:5" x14ac:dyDescent="0.25">
      <c r="A3" t="s">
        <v>7</v>
      </c>
      <c r="B3" t="s">
        <v>8</v>
      </c>
      <c r="E3" t="s">
        <v>9</v>
      </c>
    </row>
    <row r="4" spans="1:32" x14ac:dyDescent="0.25">
      <c r="A4" t="s">
        <v>10</v>
      </c>
      <c r="B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  <c r="V4" t="s">
        <v>29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35</v>
      </c>
      <c r="AC4" t="s">
        <v>36</v>
      </c>
      <c r="AD4" t="s">
        <v>37</v>
      </c>
      <c r="AE4" t="s">
        <v>38</v>
      </c>
      <c r="AF4" t="s">
        <v>39</v>
      </c>
    </row>
    <row r="5" spans="5:32" x14ac:dyDescent="0.25"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63</v>
      </c>
      <c r="AC5" t="s">
        <v>64</v>
      </c>
      <c r="AD5" t="s">
        <v>65</v>
      </c>
      <c r="AE5" t="s">
        <v>66</v>
      </c>
      <c r="AF5" t="s">
        <v>67</v>
      </c>
    </row>
    <row r="6" spans="1:32" x14ac:dyDescent="0.25">
      <c r="A6" t="s">
        <v>68</v>
      </c>
      <c r="B6" t="s">
        <v>69</v>
      </c>
      <c r="C6" t="s">
        <v>70</v>
      </c>
      <c r="E6" t="s">
        <v>71</v>
      </c>
      <c r="F6">
        <v>1.1261</v>
      </c>
      <c r="G6">
        <v>1.1612</v>
      </c>
      <c r="H6">
        <v>1.1416</v>
      </c>
      <c r="I6">
        <v>1.1518</v>
      </c>
      <c r="J6">
        <v>1.1773</v>
      </c>
      <c r="K6">
        <v>1.1561</v>
      </c>
      <c r="L6">
        <v>1.1008</v>
      </c>
      <c r="M6">
        <v>1.183</v>
      </c>
      <c r="N6">
        <v>1.0772</v>
      </c>
      <c r="O6">
        <v>1.1411</v>
      </c>
      <c r="P6">
        <v>1.1623</v>
      </c>
      <c r="Q6">
        <v>1.1571</v>
      </c>
      <c r="R6">
        <v>1.0533</v>
      </c>
      <c r="S6">
        <v>1.1942</v>
      </c>
      <c r="T6">
        <v>1.1819</v>
      </c>
      <c r="U6">
        <v>1.1463</v>
      </c>
      <c r="V6">
        <v>1.1378</v>
      </c>
      <c r="W6">
        <v>1.1628</v>
      </c>
      <c r="X6">
        <v>1.1249</v>
      </c>
      <c r="Y6">
        <v>1.1683</v>
      </c>
      <c r="Z6">
        <v>1.1571</v>
      </c>
      <c r="AA6">
        <v>1.1479</v>
      </c>
      <c r="AB6">
        <v>1.1195</v>
      </c>
      <c r="AC6">
        <v>1.1447</v>
      </c>
      <c r="AD6">
        <v>1.1151</v>
      </c>
      <c r="AE6">
        <v>1.1501</v>
      </c>
      <c r="AF6">
        <v>1.1523</v>
      </c>
    </row>
    <row r="7" spans="1:32" x14ac:dyDescent="0.25">
      <c r="A7" t="s">
        <v>72</v>
      </c>
      <c r="E7" t="s">
        <v>73</v>
      </c>
      <c r="F7">
        <v>0.6903</v>
      </c>
      <c r="G7">
        <v>0.7125</v>
      </c>
      <c r="H7">
        <v>0.708</v>
      </c>
      <c r="I7">
        <v>0.7006</v>
      </c>
      <c r="J7">
        <v>0.7285</v>
      </c>
      <c r="K7">
        <v>0.7246</v>
      </c>
      <c r="L7">
        <v>0.6994</v>
      </c>
      <c r="M7">
        <v>0.7385</v>
      </c>
      <c r="N7">
        <v>0.6928</v>
      </c>
      <c r="O7">
        <v>0.713</v>
      </c>
      <c r="P7">
        <v>0.7383</v>
      </c>
      <c r="Q7">
        <v>0.7157</v>
      </c>
      <c r="R7">
        <v>0.6783</v>
      </c>
      <c r="S7">
        <v>0.727</v>
      </c>
      <c r="T7">
        <v>0.7266</v>
      </c>
      <c r="U7">
        <v>0.7067</v>
      </c>
      <c r="V7">
        <v>0.7159</v>
      </c>
      <c r="W7">
        <v>0.7242</v>
      </c>
      <c r="X7">
        <v>0.6966</v>
      </c>
      <c r="Y7">
        <v>0.7229</v>
      </c>
      <c r="Z7">
        <v>0.7065</v>
      </c>
      <c r="AA7">
        <v>0.7035</v>
      </c>
      <c r="AB7">
        <v>0.6929</v>
      </c>
      <c r="AC7">
        <v>0.7103</v>
      </c>
      <c r="AD7">
        <v>0.6972</v>
      </c>
      <c r="AE7">
        <v>0.7118</v>
      </c>
      <c r="AF7">
        <v>0.7198</v>
      </c>
    </row>
    <row r="9" spans="1:5" x14ac:dyDescent="0.25">
      <c r="A9" t="s">
        <v>74</v>
      </c>
      <c r="E9" t="s">
        <v>75</v>
      </c>
    </row>
    <row r="10" spans="1:32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</row>
    <row r="11" spans="1:32" x14ac:dyDescent="0.25">
      <c r="A11" t="s">
        <v>81</v>
      </c>
      <c r="B11">
        <v>37370</v>
      </c>
      <c r="C11" t="s">
        <v>82</v>
      </c>
      <c r="D11" t="s">
        <v>83</v>
      </c>
      <c r="E11" t="s">
        <v>84</v>
      </c>
      <c r="F11">
        <v>3.4</v>
      </c>
      <c r="G11">
        <v>2.68</v>
      </c>
      <c r="H11">
        <v>5.58</v>
      </c>
      <c r="I11">
        <v>0.66</v>
      </c>
      <c r="J11">
        <v>5</v>
      </c>
      <c r="K11">
        <v>4.15</v>
      </c>
      <c r="L11">
        <v>4.29</v>
      </c>
      <c r="M11">
        <v>7.63</v>
      </c>
      <c r="N11">
        <v>3.61</v>
      </c>
      <c r="O11">
        <v>2.2</v>
      </c>
      <c r="P11">
        <v>2.41</v>
      </c>
      <c r="Q11">
        <v>1.73</v>
      </c>
      <c r="R11">
        <v>2.9</v>
      </c>
      <c r="S11">
        <v>5.15</v>
      </c>
      <c r="T11">
        <v>1.82</v>
      </c>
      <c r="U11">
        <v>3.06</v>
      </c>
      <c r="V11">
        <v>2.49</v>
      </c>
      <c r="W11">
        <v>5.96</v>
      </c>
      <c r="X11">
        <v>4.78</v>
      </c>
      <c r="Y11">
        <v>4.93</v>
      </c>
      <c r="Z11">
        <v>3.76</v>
      </c>
      <c r="AA11">
        <v>3.52</v>
      </c>
      <c r="AB11">
        <v>1.82</v>
      </c>
      <c r="AC11">
        <v>0.01</v>
      </c>
      <c r="AD11">
        <v>2.96</v>
      </c>
      <c r="AE11">
        <v>4.48</v>
      </c>
      <c r="AF11">
        <v>2.39</v>
      </c>
    </row>
    <row r="12" spans="1:32" x14ac:dyDescent="0.25">
      <c r="A12" t="s">
        <v>85</v>
      </c>
      <c r="B12">
        <v>370</v>
      </c>
      <c r="C12" t="s">
        <v>86</v>
      </c>
      <c r="D12" t="s">
        <v>87</v>
      </c>
      <c r="E12" t="s">
        <v>88</v>
      </c>
      <c r="F12">
        <v>144.38</v>
      </c>
      <c r="G12">
        <v>120</v>
      </c>
      <c r="H12">
        <v>105</v>
      </c>
      <c r="I12">
        <v>150</v>
      </c>
      <c r="J12">
        <v>139</v>
      </c>
      <c r="K12">
        <v>140</v>
      </c>
      <c r="L12">
        <v>245.64</v>
      </c>
      <c r="M12">
        <v>95</v>
      </c>
      <c r="N12">
        <v>222.45</v>
      </c>
      <c r="O12">
        <v>150</v>
      </c>
      <c r="P12">
        <v>165</v>
      </c>
      <c r="Q12">
        <v>82</v>
      </c>
      <c r="R12">
        <v>130</v>
      </c>
      <c r="S12">
        <v>120</v>
      </c>
      <c r="T12">
        <v>140</v>
      </c>
      <c r="U12">
        <v>140</v>
      </c>
      <c r="V12">
        <v>96.25</v>
      </c>
      <c r="W12">
        <v>119.76</v>
      </c>
      <c r="X12">
        <v>105</v>
      </c>
      <c r="Y12">
        <v>130</v>
      </c>
      <c r="Z12">
        <v>180</v>
      </c>
      <c r="AA12">
        <v>70</v>
      </c>
      <c r="AB12">
        <v>102</v>
      </c>
      <c r="AC12">
        <v>148</v>
      </c>
      <c r="AD12">
        <v>115</v>
      </c>
      <c r="AE12">
        <v>92</v>
      </c>
      <c r="AF12">
        <v>157.85</v>
      </c>
    </row>
    <row r="13" spans="1:32" x14ac:dyDescent="0.25">
      <c r="A13" t="s">
        <v>85</v>
      </c>
      <c r="B13">
        <v>34353</v>
      </c>
      <c r="C13" t="s">
        <v>89</v>
      </c>
      <c r="D13" t="s">
        <v>90</v>
      </c>
      <c r="E13" t="s">
        <v>88</v>
      </c>
      <c r="F13">
        <v>2.66</v>
      </c>
      <c r="G13">
        <v>1.86</v>
      </c>
      <c r="H13">
        <v>2.36</v>
      </c>
      <c r="I13">
        <v>2.1</v>
      </c>
      <c r="J13">
        <v>1.69</v>
      </c>
      <c r="K13">
        <v>2.21</v>
      </c>
      <c r="L13">
        <v>1.24</v>
      </c>
      <c r="M13">
        <v>1.39</v>
      </c>
      <c r="N13">
        <v>1.58</v>
      </c>
      <c r="O13">
        <v>1.63</v>
      </c>
      <c r="P13">
        <v>1.3</v>
      </c>
      <c r="Q13">
        <v>1.76</v>
      </c>
      <c r="R13">
        <v>2.29</v>
      </c>
      <c r="S13">
        <v>1.67</v>
      </c>
      <c r="T13">
        <v>1.56</v>
      </c>
      <c r="U13">
        <v>2.04</v>
      </c>
      <c r="V13">
        <v>1.45</v>
      </c>
      <c r="W13">
        <v>1.52</v>
      </c>
      <c r="X13">
        <v>1.47</v>
      </c>
      <c r="Y13">
        <v>1.76</v>
      </c>
      <c r="Z13">
        <v>2.04</v>
      </c>
      <c r="AA13">
        <v>3.25</v>
      </c>
      <c r="AB13">
        <v>1.45</v>
      </c>
      <c r="AC13">
        <v>1.39</v>
      </c>
      <c r="AD13">
        <v>1.86</v>
      </c>
      <c r="AE13">
        <v>1.3</v>
      </c>
      <c r="AF13">
        <v>1.58</v>
      </c>
    </row>
    <row r="14" spans="1:32" x14ac:dyDescent="0.25">
      <c r="A14" t="s">
        <v>91</v>
      </c>
      <c r="B14">
        <v>10535</v>
      </c>
      <c r="C14" t="s">
        <v>92</v>
      </c>
      <c r="D14" t="s">
        <v>93</v>
      </c>
      <c r="E14" t="s">
        <v>84</v>
      </c>
      <c r="F14">
        <v>5749</v>
      </c>
      <c r="G14">
        <v>4800</v>
      </c>
      <c r="H14">
        <v>5214.65</v>
      </c>
      <c r="I14">
        <v>5950</v>
      </c>
      <c r="J14">
        <v>5615</v>
      </c>
      <c r="K14">
        <v>5809</v>
      </c>
      <c r="L14">
        <v>5200</v>
      </c>
      <c r="M14">
        <v>5265</v>
      </c>
      <c r="N14">
        <v>5800</v>
      </c>
      <c r="O14">
        <v>6043.35</v>
      </c>
      <c r="P14">
        <v>6447.5</v>
      </c>
      <c r="Q14">
        <v>4990</v>
      </c>
      <c r="R14">
        <v>5798.6</v>
      </c>
      <c r="S14">
        <v>5999.95</v>
      </c>
      <c r="U14">
        <v>5439</v>
      </c>
      <c r="V14">
        <v>6880.24</v>
      </c>
      <c r="W14">
        <v>5518.25</v>
      </c>
      <c r="X14">
        <v>5380</v>
      </c>
      <c r="Y14">
        <v>5200</v>
      </c>
      <c r="Z14">
        <v>6214</v>
      </c>
      <c r="AA14">
        <v>5445</v>
      </c>
      <c r="AB14">
        <v>4799.9</v>
      </c>
      <c r="AC14">
        <v>5290.68</v>
      </c>
      <c r="AE14">
        <v>5590</v>
      </c>
      <c r="AF14">
        <v>5685.01</v>
      </c>
    </row>
    <row r="15" spans="1:32" x14ac:dyDescent="0.25">
      <c r="A15" t="s">
        <v>85</v>
      </c>
      <c r="B15">
        <v>1106</v>
      </c>
      <c r="C15" t="s">
        <v>94</v>
      </c>
      <c r="D15" t="s">
        <v>90</v>
      </c>
      <c r="E15" t="s">
        <v>84</v>
      </c>
      <c r="F15">
        <v>2.64</v>
      </c>
      <c r="G15">
        <v>1.25</v>
      </c>
      <c r="H15">
        <v>1.19</v>
      </c>
      <c r="I15">
        <v>1.34</v>
      </c>
      <c r="J15">
        <v>1.72</v>
      </c>
      <c r="K15">
        <v>1.34</v>
      </c>
      <c r="L15">
        <v>1.58</v>
      </c>
      <c r="M15">
        <v>1.56</v>
      </c>
      <c r="N15">
        <v>1.35</v>
      </c>
      <c r="O15">
        <v>1.34</v>
      </c>
      <c r="P15">
        <v>1.33</v>
      </c>
      <c r="Q15">
        <v>1.3</v>
      </c>
      <c r="R15">
        <v>1.25</v>
      </c>
      <c r="S15">
        <v>1.34</v>
      </c>
      <c r="T15">
        <v>1.25</v>
      </c>
      <c r="U15">
        <v>1.8</v>
      </c>
      <c r="V15">
        <v>1.34</v>
      </c>
      <c r="W15">
        <v>0.83</v>
      </c>
      <c r="X15">
        <v>1.36</v>
      </c>
      <c r="Y15">
        <v>0.69</v>
      </c>
      <c r="Z15">
        <v>1.61</v>
      </c>
      <c r="AA15">
        <v>1.34</v>
      </c>
      <c r="AB15">
        <v>1.06</v>
      </c>
      <c r="AC15">
        <v>0.99</v>
      </c>
      <c r="AD15">
        <v>1.4</v>
      </c>
      <c r="AE15">
        <v>1.1</v>
      </c>
      <c r="AF15">
        <v>1.6</v>
      </c>
    </row>
    <row r="16" spans="1:32" x14ac:dyDescent="0.25">
      <c r="A16" t="s">
        <v>85</v>
      </c>
      <c r="B16">
        <v>1379</v>
      </c>
      <c r="C16" t="s">
        <v>95</v>
      </c>
      <c r="D16" t="s">
        <v>90</v>
      </c>
      <c r="E16" t="s">
        <v>84</v>
      </c>
      <c r="F16">
        <v>1.38</v>
      </c>
      <c r="G16">
        <v>0.96</v>
      </c>
      <c r="H16">
        <v>1.03</v>
      </c>
      <c r="I16">
        <v>1.14</v>
      </c>
      <c r="J16">
        <v>1.06</v>
      </c>
      <c r="K16">
        <v>0.84</v>
      </c>
      <c r="L16">
        <v>0.78</v>
      </c>
      <c r="M16">
        <v>0.74</v>
      </c>
      <c r="N16">
        <v>0.84</v>
      </c>
      <c r="O16">
        <v>1.11</v>
      </c>
      <c r="P16">
        <v>0.78</v>
      </c>
      <c r="Q16">
        <v>0.9</v>
      </c>
      <c r="R16">
        <v>1.05</v>
      </c>
      <c r="S16">
        <v>1.08</v>
      </c>
      <c r="T16">
        <v>0.88</v>
      </c>
      <c r="U16">
        <v>0.91</v>
      </c>
      <c r="V16">
        <v>1.14</v>
      </c>
      <c r="W16">
        <v>0.79</v>
      </c>
      <c r="X16">
        <v>0.68</v>
      </c>
      <c r="Y16">
        <v>0.88</v>
      </c>
      <c r="Z16">
        <v>1.3</v>
      </c>
      <c r="AA16">
        <v>1.67</v>
      </c>
      <c r="AB16">
        <v>0.91</v>
      </c>
      <c r="AC16">
        <v>0.9</v>
      </c>
      <c r="AD16">
        <v>0.94</v>
      </c>
      <c r="AE16">
        <v>0.7</v>
      </c>
      <c r="AF16">
        <v>1</v>
      </c>
    </row>
    <row r="17" spans="1:32" x14ac:dyDescent="0.25">
      <c r="A17" t="s">
        <v>96</v>
      </c>
      <c r="B17">
        <v>2705</v>
      </c>
      <c r="C17" t="s">
        <v>97</v>
      </c>
      <c r="D17" t="s">
        <v>98</v>
      </c>
      <c r="E17" t="s">
        <v>88</v>
      </c>
      <c r="F17">
        <v>1.3</v>
      </c>
      <c r="G17">
        <v>1.11</v>
      </c>
      <c r="H17">
        <v>0.98</v>
      </c>
      <c r="I17">
        <v>1.07</v>
      </c>
      <c r="J17">
        <v>1.14</v>
      </c>
      <c r="K17">
        <v>0.99</v>
      </c>
      <c r="L17">
        <v>0.8</v>
      </c>
      <c r="M17">
        <v>1.01</v>
      </c>
      <c r="N17">
        <v>1.18</v>
      </c>
      <c r="O17">
        <v>1.09</v>
      </c>
      <c r="P17">
        <v>1.16</v>
      </c>
      <c r="Q17">
        <v>1.28</v>
      </c>
      <c r="R17">
        <v>1.17</v>
      </c>
      <c r="S17">
        <v>1.22</v>
      </c>
      <c r="T17">
        <v>0.86</v>
      </c>
      <c r="U17">
        <v>1.03</v>
      </c>
      <c r="V17">
        <v>1.1</v>
      </c>
      <c r="W17">
        <v>0.85</v>
      </c>
      <c r="X17">
        <v>1.29</v>
      </c>
      <c r="Y17">
        <v>1.01</v>
      </c>
      <c r="Z17">
        <v>1.6</v>
      </c>
      <c r="AA17">
        <v>0.99</v>
      </c>
      <c r="AB17">
        <v>1.12</v>
      </c>
      <c r="AC17">
        <v>0.89</v>
      </c>
      <c r="AD17">
        <v>1</v>
      </c>
      <c r="AE17">
        <v>0.87</v>
      </c>
      <c r="AF17">
        <v>1.35</v>
      </c>
    </row>
    <row r="18" spans="1:32" x14ac:dyDescent="0.25">
      <c r="A18" t="s">
        <v>81</v>
      </c>
      <c r="B18">
        <v>43488</v>
      </c>
      <c r="C18" t="s">
        <v>99</v>
      </c>
      <c r="D18" t="s">
        <v>83</v>
      </c>
      <c r="E18" t="s">
        <v>84</v>
      </c>
      <c r="F18">
        <v>0.91</v>
      </c>
      <c r="G18">
        <v>0.91</v>
      </c>
      <c r="H18">
        <v>0.92</v>
      </c>
      <c r="I18">
        <v>1.09</v>
      </c>
      <c r="J18">
        <v>0.89</v>
      </c>
      <c r="K18">
        <v>0.94</v>
      </c>
      <c r="L18">
        <v>0.79</v>
      </c>
      <c r="M18">
        <v>0.8</v>
      </c>
      <c r="N18">
        <v>0.71</v>
      </c>
      <c r="O18">
        <v>0.83</v>
      </c>
      <c r="P18">
        <v>0.9</v>
      </c>
      <c r="Q18">
        <v>0.9</v>
      </c>
      <c r="R18">
        <v>1.08</v>
      </c>
      <c r="S18">
        <v>1.11</v>
      </c>
      <c r="T18">
        <v>1.05</v>
      </c>
      <c r="U18">
        <v>0.92</v>
      </c>
      <c r="V18">
        <v>1.13</v>
      </c>
      <c r="W18">
        <v>1.03</v>
      </c>
      <c r="X18">
        <v>1.07</v>
      </c>
      <c r="Y18">
        <v>0.78</v>
      </c>
      <c r="Z18">
        <v>0.98</v>
      </c>
      <c r="AA18">
        <v>1.16</v>
      </c>
      <c r="AB18">
        <v>1.02</v>
      </c>
      <c r="AC18">
        <v>0.97</v>
      </c>
      <c r="AD18">
        <v>0.8</v>
      </c>
      <c r="AE18">
        <v>0.92</v>
      </c>
      <c r="AF18">
        <v>1</v>
      </c>
    </row>
    <row r="19" spans="1:32" x14ac:dyDescent="0.25">
      <c r="A19" t="s">
        <v>81</v>
      </c>
      <c r="B19">
        <v>43489</v>
      </c>
      <c r="C19" t="s">
        <v>100</v>
      </c>
      <c r="D19" t="s">
        <v>83</v>
      </c>
      <c r="E19" t="s">
        <v>84</v>
      </c>
      <c r="F19">
        <v>1.46</v>
      </c>
      <c r="G19">
        <v>1.45</v>
      </c>
      <c r="H19">
        <v>1.46</v>
      </c>
      <c r="I19">
        <v>1.74</v>
      </c>
      <c r="J19">
        <v>1.41</v>
      </c>
      <c r="K19">
        <v>1.5</v>
      </c>
      <c r="L19">
        <v>1.26</v>
      </c>
      <c r="M19">
        <v>1.28</v>
      </c>
      <c r="N19">
        <v>1.13</v>
      </c>
      <c r="O19">
        <v>1.32</v>
      </c>
      <c r="P19">
        <v>1.43</v>
      </c>
      <c r="Q19">
        <v>1.43</v>
      </c>
      <c r="R19">
        <v>1.72</v>
      </c>
      <c r="S19">
        <v>1.76</v>
      </c>
      <c r="T19">
        <v>1.68</v>
      </c>
      <c r="U19">
        <v>1.47</v>
      </c>
      <c r="V19">
        <v>1.81</v>
      </c>
      <c r="W19">
        <v>1.64</v>
      </c>
      <c r="X19">
        <v>1.71</v>
      </c>
      <c r="Y19">
        <v>1.25</v>
      </c>
      <c r="Z19">
        <v>1.56</v>
      </c>
      <c r="AA19">
        <v>1.85</v>
      </c>
      <c r="AB19">
        <v>1.62</v>
      </c>
      <c r="AC19">
        <v>1.55</v>
      </c>
      <c r="AD19">
        <v>1.28</v>
      </c>
      <c r="AE19">
        <v>1.47</v>
      </c>
      <c r="AF19">
        <v>1.6</v>
      </c>
    </row>
    <row r="20" spans="1:32" x14ac:dyDescent="0.25">
      <c r="A20" t="s">
        <v>81</v>
      </c>
      <c r="B20">
        <v>43491</v>
      </c>
      <c r="C20" t="s">
        <v>101</v>
      </c>
      <c r="D20" t="s">
        <v>83</v>
      </c>
      <c r="E20" t="s">
        <v>84</v>
      </c>
      <c r="F20">
        <v>1.53</v>
      </c>
      <c r="G20">
        <v>1.52</v>
      </c>
      <c r="H20">
        <v>1.53</v>
      </c>
      <c r="I20">
        <v>1.82</v>
      </c>
      <c r="J20">
        <v>1.48</v>
      </c>
      <c r="K20">
        <v>1.57</v>
      </c>
      <c r="L20">
        <v>1.32</v>
      </c>
      <c r="M20">
        <v>1.34</v>
      </c>
      <c r="N20">
        <v>1.18</v>
      </c>
      <c r="O20">
        <v>1.38</v>
      </c>
      <c r="P20">
        <v>1.5</v>
      </c>
      <c r="Q20">
        <v>1.5</v>
      </c>
      <c r="R20">
        <v>1.8</v>
      </c>
      <c r="S20">
        <v>1.85</v>
      </c>
      <c r="T20">
        <v>1.75</v>
      </c>
      <c r="U20">
        <v>1.54</v>
      </c>
      <c r="V20">
        <v>1.89</v>
      </c>
      <c r="W20">
        <v>1.71</v>
      </c>
      <c r="X20">
        <v>1.79</v>
      </c>
      <c r="Y20">
        <v>1.31</v>
      </c>
      <c r="Z20">
        <v>1.63</v>
      </c>
      <c r="AA20">
        <v>1.94</v>
      </c>
      <c r="AB20">
        <v>1.7</v>
      </c>
      <c r="AC20">
        <v>1.62</v>
      </c>
      <c r="AD20">
        <v>1.34</v>
      </c>
      <c r="AE20">
        <v>1.54</v>
      </c>
      <c r="AF20">
        <v>1.67</v>
      </c>
    </row>
    <row r="21" spans="1:32" x14ac:dyDescent="0.25">
      <c r="A21" t="s">
        <v>81</v>
      </c>
      <c r="B21">
        <v>37372</v>
      </c>
      <c r="C21" t="s">
        <v>102</v>
      </c>
      <c r="D21" t="s">
        <v>83</v>
      </c>
      <c r="E21" t="s">
        <v>84</v>
      </c>
      <c r="F21">
        <v>1.32</v>
      </c>
      <c r="G21">
        <v>1.4</v>
      </c>
      <c r="H21">
        <v>1.29</v>
      </c>
      <c r="I21">
        <v>1.3</v>
      </c>
      <c r="J21">
        <v>1.49</v>
      </c>
      <c r="K21">
        <v>1.48</v>
      </c>
      <c r="L21">
        <v>1.31</v>
      </c>
      <c r="M21">
        <v>1.62</v>
      </c>
      <c r="N21">
        <v>1.58</v>
      </c>
      <c r="O21">
        <v>1.36</v>
      </c>
      <c r="P21">
        <v>1.57</v>
      </c>
      <c r="Q21">
        <v>1.67</v>
      </c>
      <c r="R21">
        <v>1.62</v>
      </c>
      <c r="S21">
        <v>1.51</v>
      </c>
      <c r="T21">
        <v>1.56</v>
      </c>
      <c r="U21">
        <v>1.24</v>
      </c>
      <c r="V21">
        <v>1.42</v>
      </c>
      <c r="W21">
        <v>1.58</v>
      </c>
      <c r="X21">
        <v>1.25</v>
      </c>
      <c r="Y21">
        <v>1.55</v>
      </c>
      <c r="Z21">
        <v>1.52</v>
      </c>
      <c r="AA21">
        <v>1.36</v>
      </c>
      <c r="AB21">
        <v>1.36</v>
      </c>
      <c r="AC21">
        <v>1.65</v>
      </c>
      <c r="AD21">
        <v>1.39</v>
      </c>
      <c r="AE21">
        <v>1.43</v>
      </c>
      <c r="AF21">
        <v>1.59</v>
      </c>
    </row>
    <row r="22" spans="1:32" x14ac:dyDescent="0.25">
      <c r="A22" t="s">
        <v>81</v>
      </c>
      <c r="B22">
        <v>43464</v>
      </c>
      <c r="C22" t="s">
        <v>103</v>
      </c>
      <c r="D22" t="s">
        <v>83</v>
      </c>
      <c r="E22" t="s">
        <v>84</v>
      </c>
      <c r="F22">
        <v>0.03</v>
      </c>
      <c r="G22">
        <v>0.02</v>
      </c>
      <c r="H22">
        <v>0.02</v>
      </c>
      <c r="I22">
        <v>0.03</v>
      </c>
      <c r="J22">
        <v>0.02</v>
      </c>
      <c r="K22">
        <v>0.02</v>
      </c>
      <c r="L22">
        <v>0.03</v>
      </c>
      <c r="M22">
        <v>0.02</v>
      </c>
      <c r="N22">
        <v>0.02</v>
      </c>
      <c r="O22">
        <v>0.03</v>
      </c>
      <c r="P22">
        <v>0.03</v>
      </c>
      <c r="Q22">
        <v>0.02</v>
      </c>
      <c r="R22">
        <v>0.03</v>
      </c>
      <c r="S22">
        <v>0.03</v>
      </c>
      <c r="T22">
        <v>0.03</v>
      </c>
      <c r="U22">
        <v>0.02</v>
      </c>
      <c r="V22">
        <v>0.05</v>
      </c>
      <c r="W22">
        <v>0.02</v>
      </c>
      <c r="X22">
        <v>0.02</v>
      </c>
      <c r="Y22">
        <v>0.03</v>
      </c>
      <c r="Z22">
        <v>0.03</v>
      </c>
      <c r="AA22">
        <v>0.03</v>
      </c>
      <c r="AB22">
        <v>0.03</v>
      </c>
      <c r="AC22">
        <v>0.03</v>
      </c>
      <c r="AD22">
        <v>0.02</v>
      </c>
      <c r="AE22">
        <v>0.02</v>
      </c>
      <c r="AF22">
        <v>0.03</v>
      </c>
    </row>
    <row r="23" spans="1:32" x14ac:dyDescent="0.25">
      <c r="A23" t="s">
        <v>81</v>
      </c>
      <c r="B23">
        <v>43465</v>
      </c>
      <c r="C23" t="s">
        <v>104</v>
      </c>
      <c r="D23" t="s">
        <v>83</v>
      </c>
      <c r="E23" t="s">
        <v>84</v>
      </c>
      <c r="F23">
        <v>0.7</v>
      </c>
      <c r="G23">
        <v>0.6</v>
      </c>
      <c r="H23">
        <v>0.57</v>
      </c>
      <c r="I23">
        <v>0.65</v>
      </c>
      <c r="J23">
        <v>0.59</v>
      </c>
      <c r="K23">
        <v>0.6</v>
      </c>
      <c r="L23">
        <v>0.71</v>
      </c>
      <c r="M23">
        <v>0.68</v>
      </c>
      <c r="N23">
        <v>0.62</v>
      </c>
      <c r="O23">
        <v>0.73</v>
      </c>
      <c r="P23">
        <v>0.8</v>
      </c>
      <c r="Q23">
        <v>0.81</v>
      </c>
      <c r="R23">
        <v>0.74</v>
      </c>
      <c r="S23">
        <v>0.65</v>
      </c>
      <c r="T23">
        <v>0.63</v>
      </c>
      <c r="U23">
        <v>0.6</v>
      </c>
      <c r="V23">
        <v>0.9</v>
      </c>
      <c r="W23">
        <v>0.6</v>
      </c>
      <c r="X23">
        <v>0.64</v>
      </c>
      <c r="Y23">
        <v>0.66</v>
      </c>
      <c r="Z23">
        <v>0.74</v>
      </c>
      <c r="AA23">
        <v>0.63</v>
      </c>
      <c r="AB23">
        <v>0.71</v>
      </c>
      <c r="AC23">
        <v>0.72</v>
      </c>
      <c r="AD23">
        <v>0.61</v>
      </c>
      <c r="AE23">
        <v>0.73</v>
      </c>
      <c r="AF23">
        <v>0.83</v>
      </c>
    </row>
    <row r="24" spans="1:32" x14ac:dyDescent="0.25">
      <c r="A24" t="s">
        <v>81</v>
      </c>
      <c r="B24">
        <v>43467</v>
      </c>
      <c r="C24" t="s">
        <v>105</v>
      </c>
      <c r="D24" t="s">
        <v>83</v>
      </c>
      <c r="E24" t="s">
        <v>84</v>
      </c>
      <c r="F24">
        <v>0.6</v>
      </c>
      <c r="G24">
        <v>0.48</v>
      </c>
      <c r="H24">
        <v>0.57</v>
      </c>
      <c r="I24">
        <v>0.61</v>
      </c>
      <c r="J24">
        <v>0.47</v>
      </c>
      <c r="K24">
        <v>0.57</v>
      </c>
      <c r="L24">
        <v>0.58</v>
      </c>
      <c r="M24">
        <v>0.57</v>
      </c>
      <c r="N24">
        <v>0.56</v>
      </c>
      <c r="O24">
        <v>0.58</v>
      </c>
      <c r="P24">
        <v>0.67</v>
      </c>
      <c r="Q24">
        <v>0.49</v>
      </c>
      <c r="R24">
        <v>0.6</v>
      </c>
      <c r="S24">
        <v>0.56</v>
      </c>
      <c r="T24">
        <v>0.58</v>
      </c>
      <c r="U24">
        <v>0.5</v>
      </c>
      <c r="V24">
        <v>1</v>
      </c>
      <c r="W24">
        <v>0.42</v>
      </c>
      <c r="X24">
        <v>0.56</v>
      </c>
      <c r="Y24">
        <v>0.62</v>
      </c>
      <c r="Z24">
        <v>0.63</v>
      </c>
      <c r="AA24">
        <v>0.64</v>
      </c>
      <c r="AB24">
        <v>0.57</v>
      </c>
      <c r="AC24">
        <v>0.6</v>
      </c>
      <c r="AD24">
        <v>0.49</v>
      </c>
      <c r="AE24">
        <v>0.57</v>
      </c>
      <c r="AF24">
        <v>0.69</v>
      </c>
    </row>
    <row r="25" spans="1:32" x14ac:dyDescent="0.25">
      <c r="A25" t="s">
        <v>106</v>
      </c>
      <c r="B25">
        <v>37666</v>
      </c>
      <c r="C25" t="s">
        <v>107</v>
      </c>
      <c r="D25" t="s">
        <v>83</v>
      </c>
      <c r="E25" t="s">
        <v>88</v>
      </c>
      <c r="F25">
        <v>17.73</v>
      </c>
      <c r="G25">
        <v>15.56</v>
      </c>
      <c r="H25">
        <v>25.65</v>
      </c>
      <c r="I25">
        <v>15.29</v>
      </c>
      <c r="J25">
        <v>36.55</v>
      </c>
      <c r="K25">
        <v>22.76</v>
      </c>
      <c r="L25">
        <v>19.95</v>
      </c>
      <c r="M25">
        <v>24.42</v>
      </c>
      <c r="N25">
        <v>14.95</v>
      </c>
      <c r="O25">
        <v>27.04</v>
      </c>
      <c r="P25">
        <v>23.95</v>
      </c>
      <c r="Q25">
        <v>22.88</v>
      </c>
      <c r="R25">
        <v>17.24</v>
      </c>
      <c r="S25">
        <v>20.62</v>
      </c>
      <c r="T25">
        <v>16.62</v>
      </c>
      <c r="U25">
        <v>17.49</v>
      </c>
      <c r="V25">
        <v>23.02</v>
      </c>
      <c r="W25">
        <v>28.22</v>
      </c>
      <c r="X25">
        <v>24.96</v>
      </c>
      <c r="Y25">
        <v>20.9</v>
      </c>
      <c r="Z25">
        <v>20.57</v>
      </c>
      <c r="AA25">
        <v>16.64</v>
      </c>
      <c r="AB25">
        <v>26.28</v>
      </c>
      <c r="AC25">
        <v>33.47</v>
      </c>
      <c r="AD25">
        <v>20.74</v>
      </c>
      <c r="AE25">
        <v>26.7</v>
      </c>
      <c r="AF25">
        <v>16.2</v>
      </c>
    </row>
    <row r="26" spans="1:32" x14ac:dyDescent="0.25">
      <c r="A26" t="s">
        <v>106</v>
      </c>
      <c r="B26">
        <v>4750</v>
      </c>
      <c r="C26" t="s">
        <v>108</v>
      </c>
      <c r="D26" t="s">
        <v>83</v>
      </c>
      <c r="E26" t="s">
        <v>84</v>
      </c>
      <c r="F26">
        <v>25.32</v>
      </c>
      <c r="G26">
        <v>20.27</v>
      </c>
      <c r="H26">
        <v>23.08</v>
      </c>
      <c r="I26">
        <v>22.37</v>
      </c>
      <c r="J26">
        <v>25.75</v>
      </c>
      <c r="K26">
        <v>23.35</v>
      </c>
      <c r="L26">
        <v>24.2</v>
      </c>
      <c r="M26">
        <v>23.81</v>
      </c>
      <c r="N26">
        <v>25.46</v>
      </c>
      <c r="O26">
        <v>22.35</v>
      </c>
      <c r="P26">
        <v>25.86</v>
      </c>
      <c r="Q26">
        <v>22.45</v>
      </c>
      <c r="R26">
        <v>22.29</v>
      </c>
      <c r="S26">
        <v>21.92</v>
      </c>
      <c r="T26">
        <v>23.06</v>
      </c>
      <c r="U26">
        <v>23.48</v>
      </c>
      <c r="V26">
        <v>21.8</v>
      </c>
      <c r="W26">
        <v>30.84</v>
      </c>
      <c r="X26">
        <v>29.62</v>
      </c>
      <c r="Y26">
        <v>20.05</v>
      </c>
      <c r="Z26">
        <v>24</v>
      </c>
      <c r="AA26">
        <v>25.53</v>
      </c>
      <c r="AB26">
        <v>23.97</v>
      </c>
      <c r="AC26">
        <v>32.4</v>
      </c>
      <c r="AD26">
        <v>21.48</v>
      </c>
      <c r="AE26">
        <v>27.39</v>
      </c>
      <c r="AF26">
        <v>21.3</v>
      </c>
    </row>
    <row r="27" spans="1:32" x14ac:dyDescent="0.25">
      <c r="A27" t="s">
        <v>85</v>
      </c>
      <c r="B27">
        <v>36178</v>
      </c>
      <c r="C27" t="s">
        <v>109</v>
      </c>
      <c r="D27" t="s">
        <v>93</v>
      </c>
      <c r="E27" t="s">
        <v>88</v>
      </c>
      <c r="F27">
        <v>31.29</v>
      </c>
      <c r="G27">
        <v>15.44</v>
      </c>
      <c r="H27">
        <v>23.05</v>
      </c>
      <c r="I27">
        <v>21.07</v>
      </c>
      <c r="J27">
        <v>15.44</v>
      </c>
      <c r="K27">
        <v>15.32</v>
      </c>
      <c r="L27">
        <v>18.52</v>
      </c>
      <c r="M27">
        <v>17.61</v>
      </c>
      <c r="N27">
        <v>19.38</v>
      </c>
      <c r="O27">
        <v>17.63</v>
      </c>
      <c r="P27">
        <v>15.43</v>
      </c>
      <c r="Q27">
        <v>17.29</v>
      </c>
      <c r="R27">
        <v>23.07</v>
      </c>
      <c r="S27">
        <v>18.31</v>
      </c>
      <c r="T27">
        <v>13.62</v>
      </c>
      <c r="U27">
        <v>14.91</v>
      </c>
      <c r="V27">
        <v>14.23</v>
      </c>
      <c r="W27">
        <v>11.69</v>
      </c>
      <c r="X27">
        <v>16.77</v>
      </c>
      <c r="Y27">
        <v>15.42</v>
      </c>
      <c r="Z27">
        <v>23.17</v>
      </c>
      <c r="AA27">
        <v>29.79</v>
      </c>
      <c r="AB27">
        <v>14.06</v>
      </c>
      <c r="AC27">
        <v>13.68</v>
      </c>
      <c r="AD27">
        <v>18.09</v>
      </c>
      <c r="AE27">
        <v>20.33</v>
      </c>
      <c r="AF27">
        <v>21.95</v>
      </c>
    </row>
    <row r="28" spans="1:32" x14ac:dyDescent="0.25">
      <c r="A28" t="s">
        <v>85</v>
      </c>
      <c r="B28">
        <v>34357</v>
      </c>
      <c r="C28" t="s">
        <v>110</v>
      </c>
      <c r="D28" t="s">
        <v>90</v>
      </c>
      <c r="E28" t="s">
        <v>88</v>
      </c>
      <c r="F28">
        <v>8.39</v>
      </c>
      <c r="G28">
        <v>5.87</v>
      </c>
      <c r="H28">
        <v>7.45</v>
      </c>
      <c r="I28">
        <v>6.63</v>
      </c>
      <c r="J28">
        <v>5.34</v>
      </c>
      <c r="K28">
        <v>6.98</v>
      </c>
      <c r="L28">
        <v>3.93</v>
      </c>
      <c r="M28">
        <v>4.4</v>
      </c>
      <c r="N28">
        <v>4.99</v>
      </c>
      <c r="O28">
        <v>5.16</v>
      </c>
      <c r="P28">
        <v>4.11</v>
      </c>
      <c r="Q28">
        <v>5.57</v>
      </c>
      <c r="R28">
        <v>7.22</v>
      </c>
      <c r="S28">
        <v>5.28</v>
      </c>
      <c r="T28">
        <v>4.93</v>
      </c>
      <c r="U28">
        <v>6.45</v>
      </c>
      <c r="V28">
        <v>4.58</v>
      </c>
      <c r="W28">
        <v>4.81</v>
      </c>
      <c r="X28">
        <v>4.63</v>
      </c>
      <c r="Y28">
        <v>5.57</v>
      </c>
      <c r="Z28">
        <v>6.45</v>
      </c>
      <c r="AA28">
        <v>10.27</v>
      </c>
      <c r="AB28">
        <v>4.58</v>
      </c>
      <c r="AC28">
        <v>4.4</v>
      </c>
      <c r="AD28">
        <v>5.87</v>
      </c>
      <c r="AE28">
        <v>4.11</v>
      </c>
      <c r="AF28">
        <v>4.99</v>
      </c>
    </row>
    <row r="29" spans="1:32" x14ac:dyDescent="0.25">
      <c r="A29" t="s">
        <v>81</v>
      </c>
      <c r="B29">
        <v>37373</v>
      </c>
      <c r="C29" t="s">
        <v>111</v>
      </c>
      <c r="D29" t="s">
        <v>83</v>
      </c>
      <c r="E29" t="s">
        <v>84</v>
      </c>
      <c r="F29">
        <v>0.11</v>
      </c>
      <c r="G29">
        <v>0.11</v>
      </c>
      <c r="H29">
        <v>0.11</v>
      </c>
      <c r="I29">
        <v>0.01</v>
      </c>
      <c r="J29">
        <v>0.11</v>
      </c>
      <c r="K29">
        <v>0.11</v>
      </c>
      <c r="L29">
        <v>0.11</v>
      </c>
      <c r="M29">
        <v>0.11</v>
      </c>
      <c r="N29">
        <v>0.1</v>
      </c>
      <c r="O29">
        <v>0.11</v>
      </c>
      <c r="P29">
        <v>0.11</v>
      </c>
      <c r="Q29">
        <v>0.11</v>
      </c>
      <c r="R29">
        <v>0.1</v>
      </c>
      <c r="S29">
        <v>0.11</v>
      </c>
      <c r="T29">
        <v>0.01</v>
      </c>
      <c r="U29">
        <v>0.11</v>
      </c>
      <c r="V29">
        <v>0.11</v>
      </c>
      <c r="W29">
        <v>0.06</v>
      </c>
      <c r="X29">
        <v>0.11</v>
      </c>
      <c r="Y29">
        <v>0.11</v>
      </c>
      <c r="Z29">
        <v>0.01</v>
      </c>
      <c r="AA29">
        <v>0.01</v>
      </c>
      <c r="AB29">
        <v>0.11</v>
      </c>
      <c r="AC29">
        <v>0.11</v>
      </c>
      <c r="AD29">
        <v>0.11</v>
      </c>
      <c r="AE29">
        <v>0.11</v>
      </c>
      <c r="AF29">
        <v>0.11</v>
      </c>
    </row>
    <row r="30" spans="1:32" x14ac:dyDescent="0.25">
      <c r="A30" t="s">
        <v>106</v>
      </c>
      <c r="B30">
        <v>6111</v>
      </c>
      <c r="C30" t="s">
        <v>112</v>
      </c>
      <c r="D30" t="s">
        <v>83</v>
      </c>
      <c r="E30" t="s">
        <v>84</v>
      </c>
      <c r="F30">
        <v>17.39</v>
      </c>
      <c r="G30">
        <v>15.92</v>
      </c>
      <c r="H30">
        <v>17.06</v>
      </c>
      <c r="I30">
        <v>16.2</v>
      </c>
      <c r="J30">
        <v>16.37</v>
      </c>
      <c r="K30">
        <v>16.1</v>
      </c>
      <c r="L30">
        <v>16.59</v>
      </c>
      <c r="M30">
        <v>17.87</v>
      </c>
      <c r="N30">
        <v>15.62</v>
      </c>
      <c r="O30">
        <v>16.12</v>
      </c>
      <c r="P30">
        <v>17.36</v>
      </c>
      <c r="Q30">
        <v>16.76</v>
      </c>
      <c r="R30">
        <v>16.61</v>
      </c>
      <c r="S30">
        <v>16.17</v>
      </c>
      <c r="T30">
        <v>17.19</v>
      </c>
      <c r="U30">
        <v>17.66</v>
      </c>
      <c r="V30">
        <v>15.94</v>
      </c>
      <c r="W30">
        <v>21.8</v>
      </c>
      <c r="X30">
        <v>22.75</v>
      </c>
      <c r="Y30">
        <v>16.21</v>
      </c>
      <c r="Z30">
        <v>19.56</v>
      </c>
      <c r="AA30">
        <v>15.91</v>
      </c>
      <c r="AB30">
        <v>18.84</v>
      </c>
      <c r="AC30">
        <v>22.6</v>
      </c>
      <c r="AD30">
        <v>15.58</v>
      </c>
      <c r="AE30">
        <v>22.51</v>
      </c>
      <c r="AF30">
        <v>15.86</v>
      </c>
    </row>
    <row r="31" spans="1:32" x14ac:dyDescent="0.25">
      <c r="A31" t="s">
        <v>81</v>
      </c>
      <c r="B31">
        <v>37371</v>
      </c>
      <c r="C31" t="s">
        <v>113</v>
      </c>
      <c r="D31" t="s">
        <v>83</v>
      </c>
      <c r="E31" t="s">
        <v>84</v>
      </c>
      <c r="F31">
        <v>0.27</v>
      </c>
      <c r="G31">
        <v>0.48</v>
      </c>
      <c r="H31">
        <v>1.67</v>
      </c>
      <c r="I31">
        <v>0.38</v>
      </c>
      <c r="J31">
        <v>0.88</v>
      </c>
      <c r="K31">
        <v>1.09</v>
      </c>
      <c r="L31">
        <v>1.52</v>
      </c>
      <c r="M31">
        <v>0.66</v>
      </c>
      <c r="N31">
        <v>0.55</v>
      </c>
      <c r="O31">
        <v>0.51</v>
      </c>
      <c r="P31">
        <v>0.9</v>
      </c>
      <c r="Q31">
        <v>1.04</v>
      </c>
      <c r="R31">
        <v>0.7</v>
      </c>
      <c r="S31">
        <v>1.19</v>
      </c>
      <c r="T31">
        <v>0.78</v>
      </c>
      <c r="U31">
        <v>0.5</v>
      </c>
      <c r="V31">
        <v>0.48</v>
      </c>
      <c r="W31">
        <v>0.79</v>
      </c>
      <c r="X31">
        <v>1.72</v>
      </c>
      <c r="Y31">
        <v>0.73</v>
      </c>
      <c r="Z31">
        <v>0.08</v>
      </c>
      <c r="AA31">
        <v>0.85</v>
      </c>
      <c r="AB31">
        <v>1.02</v>
      </c>
      <c r="AC31">
        <v>0.98</v>
      </c>
      <c r="AD31">
        <v>0.63</v>
      </c>
      <c r="AE31">
        <v>1.07</v>
      </c>
      <c r="AF31">
        <v>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114</v>
      </c>
    </row>
    <row r="3" spans="1:5" x14ac:dyDescent="0.25">
      <c r="A3" t="s">
        <v>7</v>
      </c>
      <c r="B3" t="s">
        <v>8</v>
      </c>
      <c r="E3" t="s">
        <v>9</v>
      </c>
    </row>
    <row r="4" spans="1:32" x14ac:dyDescent="0.25">
      <c r="A4" t="s">
        <v>10</v>
      </c>
      <c r="B4" t="s">
        <v>11</v>
      </c>
      <c r="E4" t="s">
        <v>115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  <c r="V4" t="s">
        <v>29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B4" t="s">
        <v>35</v>
      </c>
      <c r="AC4" t="s">
        <v>36</v>
      </c>
      <c r="AD4" t="s">
        <v>37</v>
      </c>
      <c r="AE4" t="s">
        <v>38</v>
      </c>
      <c r="AF4" t="s">
        <v>39</v>
      </c>
    </row>
    <row r="5" spans="5:32" x14ac:dyDescent="0.25"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 t="s">
        <v>63</v>
      </c>
      <c r="AC5" t="s">
        <v>64</v>
      </c>
      <c r="AD5" t="s">
        <v>65</v>
      </c>
      <c r="AE5" t="s">
        <v>66</v>
      </c>
      <c r="AF5" t="s">
        <v>67</v>
      </c>
    </row>
    <row r="6" spans="1:32" x14ac:dyDescent="0.25">
      <c r="A6" t="s">
        <v>68</v>
      </c>
      <c r="B6" t="s">
        <v>69</v>
      </c>
      <c r="C6" t="s">
        <v>70</v>
      </c>
      <c r="E6" t="s">
        <v>71</v>
      </c>
      <c r="F6">
        <v>0.9688</v>
      </c>
      <c r="G6">
        <v>1.0013</v>
      </c>
      <c r="H6">
        <v>0.9835</v>
      </c>
      <c r="I6">
        <v>0.9923</v>
      </c>
      <c r="J6">
        <v>1.017</v>
      </c>
      <c r="K6">
        <v>0.9971</v>
      </c>
      <c r="L6">
        <v>0.9463</v>
      </c>
      <c r="M6">
        <v>1.0222</v>
      </c>
      <c r="N6">
        <v>0.9322</v>
      </c>
      <c r="O6">
        <v>0.9831</v>
      </c>
      <c r="P6">
        <v>1.0033</v>
      </c>
      <c r="Q6">
        <v>0.9956</v>
      </c>
      <c r="R6">
        <v>0.9089</v>
      </c>
      <c r="S6">
        <v>1.0326</v>
      </c>
      <c r="T6">
        <v>1.0206</v>
      </c>
      <c r="U6">
        <v>0.9883</v>
      </c>
      <c r="V6">
        <v>0.9796</v>
      </c>
      <c r="W6">
        <v>1.0025</v>
      </c>
      <c r="X6">
        <v>0.9688</v>
      </c>
      <c r="Y6">
        <v>1.0077</v>
      </c>
      <c r="Z6">
        <v>0.9961</v>
      </c>
      <c r="AA6">
        <v>0.9885</v>
      </c>
      <c r="AB6">
        <v>0.9612</v>
      </c>
      <c r="AC6">
        <v>0.9838</v>
      </c>
      <c r="AD6">
        <v>0.9588</v>
      </c>
      <c r="AE6">
        <v>0.9909</v>
      </c>
      <c r="AF6">
        <v>0.9923</v>
      </c>
    </row>
    <row r="7" spans="1:32" x14ac:dyDescent="0.25">
      <c r="A7" t="s">
        <v>72</v>
      </c>
      <c r="E7" t="s">
        <v>73</v>
      </c>
      <c r="F7">
        <v>0.5653</v>
      </c>
      <c r="G7">
        <v>0.5859</v>
      </c>
      <c r="H7">
        <v>0.582</v>
      </c>
      <c r="I7">
        <v>0.5746</v>
      </c>
      <c r="J7">
        <v>0.6013</v>
      </c>
      <c r="K7">
        <v>0.5974</v>
      </c>
      <c r="L7">
        <v>0.5745</v>
      </c>
      <c r="M7">
        <v>0.6106</v>
      </c>
      <c r="N7">
        <v>0.5747</v>
      </c>
      <c r="O7">
        <v>0.5866</v>
      </c>
      <c r="P7">
        <v>0.6106</v>
      </c>
      <c r="Q7">
        <v>0.5874</v>
      </c>
      <c r="R7">
        <v>0.5603</v>
      </c>
      <c r="S7">
        <v>0.5998</v>
      </c>
      <c r="T7">
        <v>0.5991</v>
      </c>
      <c r="U7">
        <v>0.581</v>
      </c>
      <c r="V7">
        <v>0.5891</v>
      </c>
      <c r="W7">
        <v>0.5965</v>
      </c>
      <c r="X7">
        <v>0.572</v>
      </c>
      <c r="Y7">
        <v>0.5955</v>
      </c>
      <c r="Z7">
        <v>0.5792</v>
      </c>
      <c r="AA7">
        <v>0.5772</v>
      </c>
      <c r="AB7">
        <v>0.5667</v>
      </c>
      <c r="AC7">
        <v>0.5822</v>
      </c>
      <c r="AD7">
        <v>0.5718</v>
      </c>
      <c r="AE7">
        <v>0.5851</v>
      </c>
      <c r="AF7">
        <v>0.592</v>
      </c>
    </row>
    <row r="9" spans="1:5" x14ac:dyDescent="0.25">
      <c r="A9" t="s">
        <v>74</v>
      </c>
      <c r="E9" t="s">
        <v>75</v>
      </c>
    </row>
    <row r="10" spans="1:32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</row>
    <row r="11" spans="1:32" x14ac:dyDescent="0.25">
      <c r="A11" t="s">
        <v>81</v>
      </c>
      <c r="B11">
        <v>37370</v>
      </c>
      <c r="C11" t="s">
        <v>82</v>
      </c>
      <c r="D11" t="s">
        <v>83</v>
      </c>
      <c r="E11" t="s">
        <v>84</v>
      </c>
      <c r="F11">
        <v>3.4</v>
      </c>
      <c r="G11">
        <v>2.68</v>
      </c>
      <c r="H11">
        <v>5.58</v>
      </c>
      <c r="I11">
        <v>0.66</v>
      </c>
      <c r="J11">
        <v>5</v>
      </c>
      <c r="K11">
        <v>4.15</v>
      </c>
      <c r="L11">
        <v>4.29</v>
      </c>
      <c r="M11">
        <v>7.63</v>
      </c>
      <c r="N11">
        <v>3.61</v>
      </c>
      <c r="O11">
        <v>2.2</v>
      </c>
      <c r="P11">
        <v>2.41</v>
      </c>
      <c r="Q11">
        <v>1.73</v>
      </c>
      <c r="R11">
        <v>2.9</v>
      </c>
      <c r="S11">
        <v>5.15</v>
      </c>
      <c r="T11">
        <v>1.82</v>
      </c>
      <c r="U11">
        <v>3.06</v>
      </c>
      <c r="V11">
        <v>2.49</v>
      </c>
      <c r="W11">
        <v>5.96</v>
      </c>
      <c r="X11">
        <v>4.78</v>
      </c>
      <c r="Y11">
        <v>4.93</v>
      </c>
      <c r="Z11">
        <v>3.76</v>
      </c>
      <c r="AA11">
        <v>3.52</v>
      </c>
      <c r="AB11">
        <v>1.82</v>
      </c>
      <c r="AC11">
        <v>0.01</v>
      </c>
      <c r="AD11">
        <v>2.96</v>
      </c>
      <c r="AE11">
        <v>4.48</v>
      </c>
      <c r="AF11">
        <v>2.39</v>
      </c>
    </row>
    <row r="12" spans="1:32" x14ac:dyDescent="0.25">
      <c r="A12" t="s">
        <v>85</v>
      </c>
      <c r="B12">
        <v>370</v>
      </c>
      <c r="C12" t="s">
        <v>86</v>
      </c>
      <c r="D12" t="s">
        <v>87</v>
      </c>
      <c r="E12" t="s">
        <v>88</v>
      </c>
      <c r="F12">
        <v>144.38</v>
      </c>
      <c r="G12">
        <v>120</v>
      </c>
      <c r="H12">
        <v>105</v>
      </c>
      <c r="I12">
        <v>150</v>
      </c>
      <c r="J12">
        <v>139</v>
      </c>
      <c r="K12">
        <v>140</v>
      </c>
      <c r="L12">
        <v>245.64</v>
      </c>
      <c r="M12">
        <v>95</v>
      </c>
      <c r="N12">
        <v>222.45</v>
      </c>
      <c r="O12">
        <v>150</v>
      </c>
      <c r="P12">
        <v>165</v>
      </c>
      <c r="Q12">
        <v>82</v>
      </c>
      <c r="R12">
        <v>130</v>
      </c>
      <c r="S12">
        <v>120</v>
      </c>
      <c r="T12">
        <v>140</v>
      </c>
      <c r="U12">
        <v>140</v>
      </c>
      <c r="V12">
        <v>96.25</v>
      </c>
      <c r="W12">
        <v>119.76</v>
      </c>
      <c r="X12">
        <v>105</v>
      </c>
      <c r="Y12">
        <v>130</v>
      </c>
      <c r="Z12">
        <v>180</v>
      </c>
      <c r="AA12">
        <v>70</v>
      </c>
      <c r="AB12">
        <v>102</v>
      </c>
      <c r="AC12">
        <v>148</v>
      </c>
      <c r="AD12">
        <v>115</v>
      </c>
      <c r="AE12">
        <v>92</v>
      </c>
      <c r="AF12">
        <v>157.85</v>
      </c>
    </row>
    <row r="13" spans="1:32" x14ac:dyDescent="0.25">
      <c r="A13" t="s">
        <v>85</v>
      </c>
      <c r="B13">
        <v>34353</v>
      </c>
      <c r="C13" t="s">
        <v>89</v>
      </c>
      <c r="D13" t="s">
        <v>90</v>
      </c>
      <c r="E13" t="s">
        <v>88</v>
      </c>
      <c r="F13">
        <v>2.66</v>
      </c>
      <c r="G13">
        <v>1.86</v>
      </c>
      <c r="H13">
        <v>2.36</v>
      </c>
      <c r="I13">
        <v>2.1</v>
      </c>
      <c r="J13">
        <v>1.69</v>
      </c>
      <c r="K13">
        <v>2.21</v>
      </c>
      <c r="L13">
        <v>1.24</v>
      </c>
      <c r="M13">
        <v>1.39</v>
      </c>
      <c r="N13">
        <v>1.58</v>
      </c>
      <c r="O13">
        <v>1.63</v>
      </c>
      <c r="P13">
        <v>1.3</v>
      </c>
      <c r="Q13">
        <v>1.76</v>
      </c>
      <c r="R13">
        <v>2.29</v>
      </c>
      <c r="S13">
        <v>1.67</v>
      </c>
      <c r="T13">
        <v>1.56</v>
      </c>
      <c r="U13">
        <v>2.04</v>
      </c>
      <c r="V13">
        <v>1.45</v>
      </c>
      <c r="W13">
        <v>1.52</v>
      </c>
      <c r="X13">
        <v>1.47</v>
      </c>
      <c r="Y13">
        <v>1.76</v>
      </c>
      <c r="Z13">
        <v>2.04</v>
      </c>
      <c r="AA13">
        <v>3.25</v>
      </c>
      <c r="AB13">
        <v>1.45</v>
      </c>
      <c r="AC13">
        <v>1.39</v>
      </c>
      <c r="AD13">
        <v>1.86</v>
      </c>
      <c r="AE13">
        <v>1.3</v>
      </c>
      <c r="AF13">
        <v>1.58</v>
      </c>
    </row>
    <row r="14" spans="1:32" x14ac:dyDescent="0.25">
      <c r="A14" t="s">
        <v>91</v>
      </c>
      <c r="B14">
        <v>10535</v>
      </c>
      <c r="C14" t="s">
        <v>92</v>
      </c>
      <c r="D14" t="s">
        <v>93</v>
      </c>
      <c r="E14" t="s">
        <v>84</v>
      </c>
      <c r="F14">
        <v>5749</v>
      </c>
      <c r="G14">
        <v>4800</v>
      </c>
      <c r="H14">
        <v>5214.65</v>
      </c>
      <c r="I14">
        <v>5950</v>
      </c>
      <c r="J14">
        <v>5615</v>
      </c>
      <c r="K14">
        <v>5809</v>
      </c>
      <c r="L14">
        <v>5200</v>
      </c>
      <c r="M14">
        <v>5265</v>
      </c>
      <c r="N14">
        <v>5800</v>
      </c>
      <c r="O14">
        <v>6043.35</v>
      </c>
      <c r="P14">
        <v>6447.5</v>
      </c>
      <c r="Q14">
        <v>4990</v>
      </c>
      <c r="R14">
        <v>5798.6</v>
      </c>
      <c r="S14">
        <v>5999.95</v>
      </c>
      <c r="U14">
        <v>5439</v>
      </c>
      <c r="V14">
        <v>6880.24</v>
      </c>
      <c r="W14">
        <v>5518.25</v>
      </c>
      <c r="X14">
        <v>5380</v>
      </c>
      <c r="Y14">
        <v>5200</v>
      </c>
      <c r="Z14">
        <v>6214</v>
      </c>
      <c r="AA14">
        <v>5445</v>
      </c>
      <c r="AB14">
        <v>4799.9</v>
      </c>
      <c r="AC14">
        <v>5290.68</v>
      </c>
      <c r="AE14">
        <v>5590</v>
      </c>
      <c r="AF14">
        <v>5685.01</v>
      </c>
    </row>
    <row r="15" spans="1:32" x14ac:dyDescent="0.25">
      <c r="A15" t="s">
        <v>85</v>
      </c>
      <c r="B15">
        <v>1106</v>
      </c>
      <c r="C15" t="s">
        <v>94</v>
      </c>
      <c r="D15" t="s">
        <v>90</v>
      </c>
      <c r="E15" t="s">
        <v>84</v>
      </c>
      <c r="F15">
        <v>2.64</v>
      </c>
      <c r="G15">
        <v>1.25</v>
      </c>
      <c r="H15">
        <v>1.19</v>
      </c>
      <c r="I15">
        <v>1.34</v>
      </c>
      <c r="J15">
        <v>1.72</v>
      </c>
      <c r="K15">
        <v>1.34</v>
      </c>
      <c r="L15">
        <v>1.58</v>
      </c>
      <c r="M15">
        <v>1.56</v>
      </c>
      <c r="N15">
        <v>1.35</v>
      </c>
      <c r="O15">
        <v>1.34</v>
      </c>
      <c r="P15">
        <v>1.33</v>
      </c>
      <c r="Q15">
        <v>1.3</v>
      </c>
      <c r="R15">
        <v>1.25</v>
      </c>
      <c r="S15">
        <v>1.34</v>
      </c>
      <c r="T15">
        <v>1.25</v>
      </c>
      <c r="U15">
        <v>1.8</v>
      </c>
      <c r="V15">
        <v>1.34</v>
      </c>
      <c r="W15">
        <v>0.83</v>
      </c>
      <c r="X15">
        <v>1.36</v>
      </c>
      <c r="Y15">
        <v>0.69</v>
      </c>
      <c r="Z15">
        <v>1.61</v>
      </c>
      <c r="AA15">
        <v>1.34</v>
      </c>
      <c r="AB15">
        <v>1.06</v>
      </c>
      <c r="AC15">
        <v>0.99</v>
      </c>
      <c r="AD15">
        <v>1.4</v>
      </c>
      <c r="AE15">
        <v>1.1</v>
      </c>
      <c r="AF15">
        <v>1.6</v>
      </c>
    </row>
    <row r="16" spans="1:32" x14ac:dyDescent="0.25">
      <c r="A16" t="s">
        <v>85</v>
      </c>
      <c r="B16">
        <v>1379</v>
      </c>
      <c r="C16" t="s">
        <v>95</v>
      </c>
      <c r="D16" t="s">
        <v>90</v>
      </c>
      <c r="E16" t="s">
        <v>84</v>
      </c>
      <c r="F16">
        <v>1.38</v>
      </c>
      <c r="G16">
        <v>0.96</v>
      </c>
      <c r="H16">
        <v>1.03</v>
      </c>
      <c r="I16">
        <v>1.14</v>
      </c>
      <c r="J16">
        <v>1.06</v>
      </c>
      <c r="K16">
        <v>0.84</v>
      </c>
      <c r="L16">
        <v>0.78</v>
      </c>
      <c r="M16">
        <v>0.74</v>
      </c>
      <c r="N16">
        <v>0.84</v>
      </c>
      <c r="O16">
        <v>1.11</v>
      </c>
      <c r="P16">
        <v>0.78</v>
      </c>
      <c r="Q16">
        <v>0.9</v>
      </c>
      <c r="R16">
        <v>1.05</v>
      </c>
      <c r="S16">
        <v>1.08</v>
      </c>
      <c r="T16">
        <v>0.88</v>
      </c>
      <c r="U16">
        <v>0.91</v>
      </c>
      <c r="V16">
        <v>1.14</v>
      </c>
      <c r="W16">
        <v>0.79</v>
      </c>
      <c r="X16">
        <v>0.68</v>
      </c>
      <c r="Y16">
        <v>0.88</v>
      </c>
      <c r="Z16">
        <v>1.3</v>
      </c>
      <c r="AA16">
        <v>1.67</v>
      </c>
      <c r="AB16">
        <v>0.91</v>
      </c>
      <c r="AC16">
        <v>0.9</v>
      </c>
      <c r="AD16">
        <v>0.94</v>
      </c>
      <c r="AE16">
        <v>0.7</v>
      </c>
      <c r="AF16">
        <v>1</v>
      </c>
    </row>
    <row r="17" spans="1:32" x14ac:dyDescent="0.25">
      <c r="A17" t="s">
        <v>96</v>
      </c>
      <c r="B17">
        <v>2705</v>
      </c>
      <c r="C17" t="s">
        <v>97</v>
      </c>
      <c r="D17" t="s">
        <v>98</v>
      </c>
      <c r="E17" t="s">
        <v>88</v>
      </c>
      <c r="F17">
        <v>1.3</v>
      </c>
      <c r="G17">
        <v>1.11</v>
      </c>
      <c r="H17">
        <v>0.98</v>
      </c>
      <c r="I17">
        <v>1.07</v>
      </c>
      <c r="J17">
        <v>1.14</v>
      </c>
      <c r="K17">
        <v>0.99</v>
      </c>
      <c r="L17">
        <v>0.8</v>
      </c>
      <c r="M17">
        <v>1.01</v>
      </c>
      <c r="N17">
        <v>1.18</v>
      </c>
      <c r="O17">
        <v>1.09</v>
      </c>
      <c r="P17">
        <v>1.16</v>
      </c>
      <c r="Q17">
        <v>1.28</v>
      </c>
      <c r="R17">
        <v>1.17</v>
      </c>
      <c r="S17">
        <v>1.22</v>
      </c>
      <c r="T17">
        <v>0.86</v>
      </c>
      <c r="U17">
        <v>1.03</v>
      </c>
      <c r="V17">
        <v>1.1</v>
      </c>
      <c r="W17">
        <v>0.85</v>
      </c>
      <c r="X17">
        <v>1.29</v>
      </c>
      <c r="Y17">
        <v>1.01</v>
      </c>
      <c r="Z17">
        <v>1.6</v>
      </c>
      <c r="AA17">
        <v>0.99</v>
      </c>
      <c r="AB17">
        <v>1.12</v>
      </c>
      <c r="AC17">
        <v>0.89</v>
      </c>
      <c r="AD17">
        <v>1</v>
      </c>
      <c r="AE17">
        <v>0.87</v>
      </c>
      <c r="AF17">
        <v>1.35</v>
      </c>
    </row>
    <row r="18" spans="1:32" x14ac:dyDescent="0.25">
      <c r="A18" t="s">
        <v>81</v>
      </c>
      <c r="B18">
        <v>43488</v>
      </c>
      <c r="C18" t="s">
        <v>99</v>
      </c>
      <c r="D18" t="s">
        <v>83</v>
      </c>
      <c r="E18" t="s">
        <v>84</v>
      </c>
      <c r="F18">
        <v>0.91</v>
      </c>
      <c r="G18">
        <v>0.91</v>
      </c>
      <c r="H18">
        <v>0.92</v>
      </c>
      <c r="I18">
        <v>1.09</v>
      </c>
      <c r="J18">
        <v>0.89</v>
      </c>
      <c r="K18">
        <v>0.94</v>
      </c>
      <c r="L18">
        <v>0.79</v>
      </c>
      <c r="M18">
        <v>0.8</v>
      </c>
      <c r="N18">
        <v>0.71</v>
      </c>
      <c r="O18">
        <v>0.83</v>
      </c>
      <c r="P18">
        <v>0.9</v>
      </c>
      <c r="Q18">
        <v>0.9</v>
      </c>
      <c r="R18">
        <v>1.08</v>
      </c>
      <c r="S18">
        <v>1.11</v>
      </c>
      <c r="T18">
        <v>1.05</v>
      </c>
      <c r="U18">
        <v>0.92</v>
      </c>
      <c r="V18">
        <v>1.13</v>
      </c>
      <c r="W18">
        <v>1.03</v>
      </c>
      <c r="X18">
        <v>1.07</v>
      </c>
      <c r="Y18">
        <v>0.78</v>
      </c>
      <c r="Z18">
        <v>0.98</v>
      </c>
      <c r="AA18">
        <v>1.16</v>
      </c>
      <c r="AB18">
        <v>1.02</v>
      </c>
      <c r="AC18">
        <v>0.97</v>
      </c>
      <c r="AD18">
        <v>0.8</v>
      </c>
      <c r="AE18">
        <v>0.92</v>
      </c>
      <c r="AF18">
        <v>1</v>
      </c>
    </row>
    <row r="19" spans="1:32" x14ac:dyDescent="0.25">
      <c r="A19" t="s">
        <v>81</v>
      </c>
      <c r="B19">
        <v>43489</v>
      </c>
      <c r="C19" t="s">
        <v>100</v>
      </c>
      <c r="D19" t="s">
        <v>83</v>
      </c>
      <c r="E19" t="s">
        <v>84</v>
      </c>
      <c r="F19">
        <v>1.46</v>
      </c>
      <c r="G19">
        <v>1.45</v>
      </c>
      <c r="H19">
        <v>1.46</v>
      </c>
      <c r="I19">
        <v>1.74</v>
      </c>
      <c r="J19">
        <v>1.41</v>
      </c>
      <c r="K19">
        <v>1.5</v>
      </c>
      <c r="L19">
        <v>1.26</v>
      </c>
      <c r="M19">
        <v>1.28</v>
      </c>
      <c r="N19">
        <v>1.13</v>
      </c>
      <c r="O19">
        <v>1.32</v>
      </c>
      <c r="P19">
        <v>1.43</v>
      </c>
      <c r="Q19">
        <v>1.43</v>
      </c>
      <c r="R19">
        <v>1.72</v>
      </c>
      <c r="S19">
        <v>1.76</v>
      </c>
      <c r="T19">
        <v>1.68</v>
      </c>
      <c r="U19">
        <v>1.47</v>
      </c>
      <c r="V19">
        <v>1.81</v>
      </c>
      <c r="W19">
        <v>1.64</v>
      </c>
      <c r="X19">
        <v>1.71</v>
      </c>
      <c r="Y19">
        <v>1.25</v>
      </c>
      <c r="Z19">
        <v>1.56</v>
      </c>
      <c r="AA19">
        <v>1.85</v>
      </c>
      <c r="AB19">
        <v>1.62</v>
      </c>
      <c r="AC19">
        <v>1.55</v>
      </c>
      <c r="AD19">
        <v>1.28</v>
      </c>
      <c r="AE19">
        <v>1.47</v>
      </c>
      <c r="AF19">
        <v>1.6</v>
      </c>
    </row>
    <row r="20" spans="1:32" x14ac:dyDescent="0.25">
      <c r="A20" t="s">
        <v>81</v>
      </c>
      <c r="B20">
        <v>43491</v>
      </c>
      <c r="C20" t="s">
        <v>101</v>
      </c>
      <c r="D20" t="s">
        <v>83</v>
      </c>
      <c r="E20" t="s">
        <v>84</v>
      </c>
      <c r="F20">
        <v>1.53</v>
      </c>
      <c r="G20">
        <v>1.52</v>
      </c>
      <c r="H20">
        <v>1.53</v>
      </c>
      <c r="I20">
        <v>1.82</v>
      </c>
      <c r="J20">
        <v>1.48</v>
      </c>
      <c r="K20">
        <v>1.57</v>
      </c>
      <c r="L20">
        <v>1.32</v>
      </c>
      <c r="M20">
        <v>1.34</v>
      </c>
      <c r="N20">
        <v>1.18</v>
      </c>
      <c r="O20">
        <v>1.38</v>
      </c>
      <c r="P20">
        <v>1.5</v>
      </c>
      <c r="Q20">
        <v>1.5</v>
      </c>
      <c r="R20">
        <v>1.8</v>
      </c>
      <c r="S20">
        <v>1.85</v>
      </c>
      <c r="T20">
        <v>1.75</v>
      </c>
      <c r="U20">
        <v>1.54</v>
      </c>
      <c r="V20">
        <v>1.89</v>
      </c>
      <c r="W20">
        <v>1.71</v>
      </c>
      <c r="X20">
        <v>1.79</v>
      </c>
      <c r="Y20">
        <v>1.31</v>
      </c>
      <c r="Z20">
        <v>1.63</v>
      </c>
      <c r="AA20">
        <v>1.94</v>
      </c>
      <c r="AB20">
        <v>1.7</v>
      </c>
      <c r="AC20">
        <v>1.62</v>
      </c>
      <c r="AD20">
        <v>1.34</v>
      </c>
      <c r="AE20">
        <v>1.54</v>
      </c>
      <c r="AF20">
        <v>1.67</v>
      </c>
    </row>
    <row r="21" spans="1:32" x14ac:dyDescent="0.25">
      <c r="A21" t="s">
        <v>81</v>
      </c>
      <c r="B21">
        <v>37372</v>
      </c>
      <c r="C21" t="s">
        <v>102</v>
      </c>
      <c r="D21" t="s">
        <v>83</v>
      </c>
      <c r="E21" t="s">
        <v>84</v>
      </c>
      <c r="F21">
        <v>1.32</v>
      </c>
      <c r="G21">
        <v>1.4</v>
      </c>
      <c r="H21">
        <v>1.29</v>
      </c>
      <c r="I21">
        <v>1.3</v>
      </c>
      <c r="J21">
        <v>1.49</v>
      </c>
      <c r="K21">
        <v>1.48</v>
      </c>
      <c r="L21">
        <v>1.31</v>
      </c>
      <c r="M21">
        <v>1.62</v>
      </c>
      <c r="N21">
        <v>1.58</v>
      </c>
      <c r="O21">
        <v>1.36</v>
      </c>
      <c r="P21">
        <v>1.57</v>
      </c>
      <c r="Q21">
        <v>1.67</v>
      </c>
      <c r="R21">
        <v>1.62</v>
      </c>
      <c r="S21">
        <v>1.51</v>
      </c>
      <c r="T21">
        <v>1.56</v>
      </c>
      <c r="U21">
        <v>1.24</v>
      </c>
      <c r="V21">
        <v>1.42</v>
      </c>
      <c r="W21">
        <v>1.58</v>
      </c>
      <c r="X21">
        <v>1.25</v>
      </c>
      <c r="Y21">
        <v>1.55</v>
      </c>
      <c r="Z21">
        <v>1.52</v>
      </c>
      <c r="AA21">
        <v>1.36</v>
      </c>
      <c r="AB21">
        <v>1.36</v>
      </c>
      <c r="AC21">
        <v>1.65</v>
      </c>
      <c r="AD21">
        <v>1.39</v>
      </c>
      <c r="AE21">
        <v>1.43</v>
      </c>
      <c r="AF21">
        <v>1.59</v>
      </c>
    </row>
    <row r="22" spans="1:32" x14ac:dyDescent="0.25">
      <c r="A22" t="s">
        <v>81</v>
      </c>
      <c r="B22">
        <v>43464</v>
      </c>
      <c r="C22" t="s">
        <v>103</v>
      </c>
      <c r="D22" t="s">
        <v>83</v>
      </c>
      <c r="E22" t="s">
        <v>84</v>
      </c>
      <c r="F22">
        <v>0.03</v>
      </c>
      <c r="G22">
        <v>0.02</v>
      </c>
      <c r="H22">
        <v>0.02</v>
      </c>
      <c r="I22">
        <v>0.03</v>
      </c>
      <c r="J22">
        <v>0.02</v>
      </c>
      <c r="K22">
        <v>0.02</v>
      </c>
      <c r="L22">
        <v>0.03</v>
      </c>
      <c r="M22">
        <v>0.02</v>
      </c>
      <c r="N22">
        <v>0.02</v>
      </c>
      <c r="O22">
        <v>0.03</v>
      </c>
      <c r="P22">
        <v>0.03</v>
      </c>
      <c r="Q22">
        <v>0.02</v>
      </c>
      <c r="R22">
        <v>0.03</v>
      </c>
      <c r="S22">
        <v>0.03</v>
      </c>
      <c r="T22">
        <v>0.03</v>
      </c>
      <c r="U22">
        <v>0.02</v>
      </c>
      <c r="V22">
        <v>0.05</v>
      </c>
      <c r="W22">
        <v>0.02</v>
      </c>
      <c r="X22">
        <v>0.02</v>
      </c>
      <c r="Y22">
        <v>0.03</v>
      </c>
      <c r="Z22">
        <v>0.03</v>
      </c>
      <c r="AA22">
        <v>0.03</v>
      </c>
      <c r="AB22">
        <v>0.03</v>
      </c>
      <c r="AC22">
        <v>0.03</v>
      </c>
      <c r="AD22">
        <v>0.02</v>
      </c>
      <c r="AE22">
        <v>0.02</v>
      </c>
      <c r="AF22">
        <v>0.03</v>
      </c>
    </row>
    <row r="23" spans="1:32" x14ac:dyDescent="0.25">
      <c r="A23" t="s">
        <v>81</v>
      </c>
      <c r="B23">
        <v>43465</v>
      </c>
      <c r="C23" t="s">
        <v>104</v>
      </c>
      <c r="D23" t="s">
        <v>83</v>
      </c>
      <c r="E23" t="s">
        <v>84</v>
      </c>
      <c r="F23">
        <v>0.7</v>
      </c>
      <c r="G23">
        <v>0.6</v>
      </c>
      <c r="H23">
        <v>0.57</v>
      </c>
      <c r="I23">
        <v>0.65</v>
      </c>
      <c r="J23">
        <v>0.59</v>
      </c>
      <c r="K23">
        <v>0.6</v>
      </c>
      <c r="L23">
        <v>0.71</v>
      </c>
      <c r="M23">
        <v>0.68</v>
      </c>
      <c r="N23">
        <v>0.62</v>
      </c>
      <c r="O23">
        <v>0.73</v>
      </c>
      <c r="P23">
        <v>0.8</v>
      </c>
      <c r="Q23">
        <v>0.81</v>
      </c>
      <c r="R23">
        <v>0.74</v>
      </c>
      <c r="S23">
        <v>0.65</v>
      </c>
      <c r="T23">
        <v>0.63</v>
      </c>
      <c r="U23">
        <v>0.6</v>
      </c>
      <c r="V23">
        <v>0.9</v>
      </c>
      <c r="W23">
        <v>0.6</v>
      </c>
      <c r="X23">
        <v>0.64</v>
      </c>
      <c r="Y23">
        <v>0.66</v>
      </c>
      <c r="Z23">
        <v>0.74</v>
      </c>
      <c r="AA23">
        <v>0.63</v>
      </c>
      <c r="AB23">
        <v>0.71</v>
      </c>
      <c r="AC23">
        <v>0.72</v>
      </c>
      <c r="AD23">
        <v>0.61</v>
      </c>
      <c r="AE23">
        <v>0.73</v>
      </c>
      <c r="AF23">
        <v>0.83</v>
      </c>
    </row>
    <row r="24" spans="1:32" x14ac:dyDescent="0.25">
      <c r="A24" t="s">
        <v>81</v>
      </c>
      <c r="B24">
        <v>43467</v>
      </c>
      <c r="C24" t="s">
        <v>105</v>
      </c>
      <c r="D24" t="s">
        <v>83</v>
      </c>
      <c r="E24" t="s">
        <v>84</v>
      </c>
      <c r="F24">
        <v>0.6</v>
      </c>
      <c r="G24">
        <v>0.48</v>
      </c>
      <c r="H24">
        <v>0.57</v>
      </c>
      <c r="I24">
        <v>0.61</v>
      </c>
      <c r="J24">
        <v>0.47</v>
      </c>
      <c r="K24">
        <v>0.57</v>
      </c>
      <c r="L24">
        <v>0.58</v>
      </c>
      <c r="M24">
        <v>0.57</v>
      </c>
      <c r="N24">
        <v>0.56</v>
      </c>
      <c r="O24">
        <v>0.58</v>
      </c>
      <c r="P24">
        <v>0.67</v>
      </c>
      <c r="Q24">
        <v>0.49</v>
      </c>
      <c r="R24">
        <v>0.6</v>
      </c>
      <c r="S24">
        <v>0.56</v>
      </c>
      <c r="T24">
        <v>0.58</v>
      </c>
      <c r="U24">
        <v>0.5</v>
      </c>
      <c r="V24">
        <v>1</v>
      </c>
      <c r="W24">
        <v>0.42</v>
      </c>
      <c r="X24">
        <v>0.56</v>
      </c>
      <c r="Y24">
        <v>0.62</v>
      </c>
      <c r="Z24">
        <v>0.63</v>
      </c>
      <c r="AA24">
        <v>0.64</v>
      </c>
      <c r="AB24">
        <v>0.57</v>
      </c>
      <c r="AC24">
        <v>0.6</v>
      </c>
      <c r="AD24">
        <v>0.49</v>
      </c>
      <c r="AE24">
        <v>0.57</v>
      </c>
      <c r="AF24">
        <v>0.69</v>
      </c>
    </row>
    <row r="25" spans="1:32" x14ac:dyDescent="0.25">
      <c r="A25" t="s">
        <v>106</v>
      </c>
      <c r="B25">
        <v>37666</v>
      </c>
      <c r="C25" t="s">
        <v>107</v>
      </c>
      <c r="D25" t="s">
        <v>83</v>
      </c>
      <c r="E25" t="s">
        <v>88</v>
      </c>
      <c r="F25">
        <v>16.41</v>
      </c>
      <c r="G25">
        <v>14.4</v>
      </c>
      <c r="H25">
        <v>23.76</v>
      </c>
      <c r="I25">
        <v>14.16</v>
      </c>
      <c r="J25">
        <v>33.86</v>
      </c>
      <c r="K25">
        <v>21.08</v>
      </c>
      <c r="L25">
        <v>18.48</v>
      </c>
      <c r="M25">
        <v>22.62</v>
      </c>
      <c r="N25">
        <v>13.91</v>
      </c>
      <c r="O25">
        <v>25.04</v>
      </c>
      <c r="P25">
        <v>22.19</v>
      </c>
      <c r="Q25">
        <v>21.17</v>
      </c>
      <c r="R25">
        <v>16.03</v>
      </c>
      <c r="S25">
        <v>19.1</v>
      </c>
      <c r="T25">
        <v>15.39</v>
      </c>
      <c r="U25">
        <v>16.2</v>
      </c>
      <c r="V25">
        <v>21.32</v>
      </c>
      <c r="W25">
        <v>26.13</v>
      </c>
      <c r="X25">
        <v>23.13</v>
      </c>
      <c r="Y25">
        <v>19.35</v>
      </c>
      <c r="Z25">
        <v>19.04</v>
      </c>
      <c r="AA25">
        <v>15.41</v>
      </c>
      <c r="AB25">
        <v>24.31</v>
      </c>
      <c r="AC25">
        <v>30.96</v>
      </c>
      <c r="AD25">
        <v>19.21</v>
      </c>
      <c r="AE25">
        <v>24.72</v>
      </c>
      <c r="AF25">
        <v>15</v>
      </c>
    </row>
    <row r="26" spans="1:32" x14ac:dyDescent="0.25">
      <c r="A26" t="s">
        <v>106</v>
      </c>
      <c r="B26">
        <v>4750</v>
      </c>
      <c r="C26" t="s">
        <v>108</v>
      </c>
      <c r="D26" t="s">
        <v>83</v>
      </c>
      <c r="E26" t="s">
        <v>84</v>
      </c>
      <c r="F26">
        <v>23.44</v>
      </c>
      <c r="G26">
        <v>18.77</v>
      </c>
      <c r="H26">
        <v>21.38</v>
      </c>
      <c r="I26">
        <v>20.71</v>
      </c>
      <c r="J26">
        <v>23.86</v>
      </c>
      <c r="K26">
        <v>21.62</v>
      </c>
      <c r="L26">
        <v>22.42</v>
      </c>
      <c r="M26">
        <v>22.06</v>
      </c>
      <c r="N26">
        <v>23.68</v>
      </c>
      <c r="O26">
        <v>20.7</v>
      </c>
      <c r="P26">
        <v>23.95</v>
      </c>
      <c r="Q26">
        <v>20.77</v>
      </c>
      <c r="R26">
        <v>20.73</v>
      </c>
      <c r="S26">
        <v>20.3</v>
      </c>
      <c r="T26">
        <v>21.35</v>
      </c>
      <c r="U26">
        <v>21.75</v>
      </c>
      <c r="V26">
        <v>20.19</v>
      </c>
      <c r="W26">
        <v>28.55</v>
      </c>
      <c r="X26">
        <v>27.44</v>
      </c>
      <c r="Y26">
        <v>18.57</v>
      </c>
      <c r="Z26">
        <v>22.21</v>
      </c>
      <c r="AA26">
        <v>23.64</v>
      </c>
      <c r="AB26">
        <v>22.18</v>
      </c>
      <c r="AC26">
        <v>29.97</v>
      </c>
      <c r="AD26">
        <v>19.9</v>
      </c>
      <c r="AE26">
        <v>25.36</v>
      </c>
      <c r="AF26">
        <v>19.72</v>
      </c>
    </row>
    <row r="27" spans="1:32" x14ac:dyDescent="0.25">
      <c r="A27" t="s">
        <v>85</v>
      </c>
      <c r="B27">
        <v>36178</v>
      </c>
      <c r="C27" t="s">
        <v>109</v>
      </c>
      <c r="D27" t="s">
        <v>93</v>
      </c>
      <c r="E27" t="s">
        <v>88</v>
      </c>
      <c r="F27">
        <v>31.29</v>
      </c>
      <c r="G27">
        <v>15.44</v>
      </c>
      <c r="H27">
        <v>23.05</v>
      </c>
      <c r="I27">
        <v>21.07</v>
      </c>
      <c r="J27">
        <v>15.44</v>
      </c>
      <c r="K27">
        <v>15.32</v>
      </c>
      <c r="L27">
        <v>18.52</v>
      </c>
      <c r="M27">
        <v>17.61</v>
      </c>
      <c r="N27">
        <v>19.38</v>
      </c>
      <c r="O27">
        <v>17.63</v>
      </c>
      <c r="P27">
        <v>15.43</v>
      </c>
      <c r="Q27">
        <v>17.29</v>
      </c>
      <c r="R27">
        <v>23.07</v>
      </c>
      <c r="S27">
        <v>18.31</v>
      </c>
      <c r="T27">
        <v>13.62</v>
      </c>
      <c r="U27">
        <v>14.91</v>
      </c>
      <c r="V27">
        <v>14.23</v>
      </c>
      <c r="W27">
        <v>11.69</v>
      </c>
      <c r="X27">
        <v>16.77</v>
      </c>
      <c r="Y27">
        <v>15.42</v>
      </c>
      <c r="Z27">
        <v>23.17</v>
      </c>
      <c r="AA27">
        <v>29.79</v>
      </c>
      <c r="AB27">
        <v>14.06</v>
      </c>
      <c r="AC27">
        <v>13.68</v>
      </c>
      <c r="AD27">
        <v>18.09</v>
      </c>
      <c r="AE27">
        <v>20.33</v>
      </c>
      <c r="AF27">
        <v>21.95</v>
      </c>
    </row>
    <row r="28" spans="1:32" x14ac:dyDescent="0.25">
      <c r="A28" t="s">
        <v>85</v>
      </c>
      <c r="B28">
        <v>34357</v>
      </c>
      <c r="C28" t="s">
        <v>110</v>
      </c>
      <c r="D28" t="s">
        <v>90</v>
      </c>
      <c r="E28" t="s">
        <v>88</v>
      </c>
      <c r="F28">
        <v>8.39</v>
      </c>
      <c r="G28">
        <v>5.87</v>
      </c>
      <c r="H28">
        <v>7.45</v>
      </c>
      <c r="I28">
        <v>6.63</v>
      </c>
      <c r="J28">
        <v>5.34</v>
      </c>
      <c r="K28">
        <v>6.98</v>
      </c>
      <c r="L28">
        <v>3.93</v>
      </c>
      <c r="M28">
        <v>4.4</v>
      </c>
      <c r="N28">
        <v>4.99</v>
      </c>
      <c r="O28">
        <v>5.16</v>
      </c>
      <c r="P28">
        <v>4.11</v>
      </c>
      <c r="Q28">
        <v>5.57</v>
      </c>
      <c r="R28">
        <v>7.22</v>
      </c>
      <c r="S28">
        <v>5.28</v>
      </c>
      <c r="T28">
        <v>4.93</v>
      </c>
      <c r="U28">
        <v>6.45</v>
      </c>
      <c r="V28">
        <v>4.58</v>
      </c>
      <c r="W28">
        <v>4.81</v>
      </c>
      <c r="X28">
        <v>4.63</v>
      </c>
      <c r="Y28">
        <v>5.57</v>
      </c>
      <c r="Z28">
        <v>6.45</v>
      </c>
      <c r="AA28">
        <v>10.27</v>
      </c>
      <c r="AB28">
        <v>4.58</v>
      </c>
      <c r="AC28">
        <v>4.4</v>
      </c>
      <c r="AD28">
        <v>5.87</v>
      </c>
      <c r="AE28">
        <v>4.11</v>
      </c>
      <c r="AF28">
        <v>4.99</v>
      </c>
    </row>
    <row r="29" spans="1:32" x14ac:dyDescent="0.25">
      <c r="A29" t="s">
        <v>81</v>
      </c>
      <c r="B29">
        <v>37373</v>
      </c>
      <c r="C29" t="s">
        <v>111</v>
      </c>
      <c r="D29" t="s">
        <v>83</v>
      </c>
      <c r="E29" t="s">
        <v>84</v>
      </c>
      <c r="F29">
        <v>0.11</v>
      </c>
      <c r="G29">
        <v>0.11</v>
      </c>
      <c r="H29">
        <v>0.11</v>
      </c>
      <c r="I29">
        <v>0.01</v>
      </c>
      <c r="J29">
        <v>0.11</v>
      </c>
      <c r="K29">
        <v>0.11</v>
      </c>
      <c r="L29">
        <v>0.11</v>
      </c>
      <c r="M29">
        <v>0.11</v>
      </c>
      <c r="N29">
        <v>0.1</v>
      </c>
      <c r="O29">
        <v>0.11</v>
      </c>
      <c r="P29">
        <v>0.11</v>
      </c>
      <c r="Q29">
        <v>0.11</v>
      </c>
      <c r="R29">
        <v>0.1</v>
      </c>
      <c r="S29">
        <v>0.11</v>
      </c>
      <c r="T29">
        <v>0.01</v>
      </c>
      <c r="U29">
        <v>0.11</v>
      </c>
      <c r="V29">
        <v>0.11</v>
      </c>
      <c r="W29">
        <v>0.06</v>
      </c>
      <c r="X29">
        <v>0.11</v>
      </c>
      <c r="Y29">
        <v>0.11</v>
      </c>
      <c r="Z29">
        <v>0.01</v>
      </c>
      <c r="AA29">
        <v>0.01</v>
      </c>
      <c r="AB29">
        <v>0.11</v>
      </c>
      <c r="AC29">
        <v>0.11</v>
      </c>
      <c r="AD29">
        <v>0.11</v>
      </c>
      <c r="AE29">
        <v>0.11</v>
      </c>
      <c r="AF29">
        <v>0.11</v>
      </c>
    </row>
    <row r="30" spans="1:32" x14ac:dyDescent="0.25">
      <c r="A30" t="s">
        <v>106</v>
      </c>
      <c r="B30">
        <v>6111</v>
      </c>
      <c r="C30" t="s">
        <v>112</v>
      </c>
      <c r="D30" t="s">
        <v>83</v>
      </c>
      <c r="E30" t="s">
        <v>84</v>
      </c>
      <c r="F30">
        <v>16.1</v>
      </c>
      <c r="G30">
        <v>14.74</v>
      </c>
      <c r="H30">
        <v>15.8</v>
      </c>
      <c r="I30">
        <v>15</v>
      </c>
      <c r="J30">
        <v>15.16</v>
      </c>
      <c r="K30">
        <v>14.91</v>
      </c>
      <c r="L30">
        <v>15.37</v>
      </c>
      <c r="M30">
        <v>16.56</v>
      </c>
      <c r="N30">
        <v>14.53</v>
      </c>
      <c r="O30">
        <v>14.93</v>
      </c>
      <c r="P30">
        <v>16.08</v>
      </c>
      <c r="Q30">
        <v>15.5</v>
      </c>
      <c r="R30">
        <v>15.44</v>
      </c>
      <c r="S30">
        <v>14.98</v>
      </c>
      <c r="T30">
        <v>15.92</v>
      </c>
      <c r="U30">
        <v>16.36</v>
      </c>
      <c r="V30">
        <v>14.76</v>
      </c>
      <c r="W30">
        <v>20.18</v>
      </c>
      <c r="X30">
        <v>21.08</v>
      </c>
      <c r="Y30">
        <v>15.01</v>
      </c>
      <c r="Z30">
        <v>18.1</v>
      </c>
      <c r="AA30">
        <v>14.73</v>
      </c>
      <c r="AB30">
        <v>17.43</v>
      </c>
      <c r="AC30">
        <v>20.9</v>
      </c>
      <c r="AD30">
        <v>14.43</v>
      </c>
      <c r="AE30">
        <v>20.84</v>
      </c>
      <c r="AF30">
        <v>14.68</v>
      </c>
    </row>
    <row r="31" spans="1:32" x14ac:dyDescent="0.25">
      <c r="A31" t="s">
        <v>81</v>
      </c>
      <c r="B31">
        <v>37371</v>
      </c>
      <c r="C31" t="s">
        <v>113</v>
      </c>
      <c r="D31" t="s">
        <v>83</v>
      </c>
      <c r="E31" t="s">
        <v>84</v>
      </c>
      <c r="F31">
        <v>0.27</v>
      </c>
      <c r="G31">
        <v>0.48</v>
      </c>
      <c r="H31">
        <v>1.67</v>
      </c>
      <c r="I31">
        <v>0.38</v>
      </c>
      <c r="J31">
        <v>0.88</v>
      </c>
      <c r="K31">
        <v>1.09</v>
      </c>
      <c r="L31">
        <v>1.52</v>
      </c>
      <c r="M31">
        <v>0.66</v>
      </c>
      <c r="N31">
        <v>0.55</v>
      </c>
      <c r="O31">
        <v>0.51</v>
      </c>
      <c r="P31">
        <v>0.9</v>
      </c>
      <c r="Q31">
        <v>1.04</v>
      </c>
      <c r="R31">
        <v>0.7</v>
      </c>
      <c r="S31">
        <v>1.19</v>
      </c>
      <c r="T31">
        <v>0.78</v>
      </c>
      <c r="U31">
        <v>0.5</v>
      </c>
      <c r="V31">
        <v>0.48</v>
      </c>
      <c r="W31">
        <v>0.79</v>
      </c>
      <c r="X31">
        <v>1.72</v>
      </c>
      <c r="Y31">
        <v>0.73</v>
      </c>
      <c r="Z31">
        <v>0.08</v>
      </c>
      <c r="AA31">
        <v>0.85</v>
      </c>
      <c r="AB31">
        <v>1.02</v>
      </c>
      <c r="AC31">
        <v>0.98</v>
      </c>
      <c r="AD31">
        <v>0.63</v>
      </c>
      <c r="AE31">
        <v>1.07</v>
      </c>
      <c r="AF31">
        <v>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116</v>
      </c>
    </row>
    <row r="3" spans="1:2" x14ac:dyDescent="0.25">
      <c r="A3" t="s">
        <v>7</v>
      </c>
      <c r="B3" t="s">
        <v>8</v>
      </c>
    </row>
    <row r="4" spans="1:2" x14ac:dyDescent="0.25">
      <c r="A4" t="s">
        <v>10</v>
      </c>
      <c r="B4" t="s">
        <v>11</v>
      </c>
    </row>
    <row r="6" spans="1:3" x14ac:dyDescent="0.25">
      <c r="A6" t="s">
        <v>68</v>
      </c>
      <c r="B6" t="s">
        <v>69</v>
      </c>
      <c r="C6" t="s">
        <v>70</v>
      </c>
    </row>
    <row r="7" spans="1:1" x14ac:dyDescent="0.25">
      <c r="A7" t="s">
        <v>72</v>
      </c>
    </row>
    <row r="9" spans="1:5" x14ac:dyDescent="0.25">
      <c r="A9" t="s">
        <v>74</v>
      </c>
      <c r="E9" t="s">
        <v>75</v>
      </c>
    </row>
    <row r="10" spans="1:32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</row>
    <row r="11" spans="1:32" x14ac:dyDescent="0.25">
      <c r="A11" t="s">
        <v>81</v>
      </c>
      <c r="B11">
        <v>37370</v>
      </c>
      <c r="C11" t="s">
        <v>82</v>
      </c>
      <c r="D11" t="s">
        <v>83</v>
      </c>
      <c r="E11" t="s">
        <v>84</v>
      </c>
      <c r="F11">
        <v>3.4</v>
      </c>
      <c r="G11">
        <v>2.68</v>
      </c>
      <c r="H11">
        <v>5.58</v>
      </c>
      <c r="I11">
        <v>0.66</v>
      </c>
      <c r="J11">
        <v>5</v>
      </c>
      <c r="K11">
        <v>4.15</v>
      </c>
      <c r="L11">
        <v>4.29</v>
      </c>
      <c r="M11">
        <v>7.63</v>
      </c>
      <c r="N11">
        <v>3.61</v>
      </c>
      <c r="O11">
        <v>2.2</v>
      </c>
      <c r="P11">
        <v>2.41</v>
      </c>
      <c r="Q11">
        <v>1.73</v>
      </c>
      <c r="R11">
        <v>2.9</v>
      </c>
      <c r="S11">
        <v>5.15</v>
      </c>
      <c r="T11">
        <v>1.82</v>
      </c>
      <c r="U11">
        <v>3.06</v>
      </c>
      <c r="V11">
        <v>2.49</v>
      </c>
      <c r="W11">
        <v>5.96</v>
      </c>
      <c r="X11">
        <v>4.78</v>
      </c>
      <c r="Y11">
        <v>4.93</v>
      </c>
      <c r="Z11">
        <v>3.76</v>
      </c>
      <c r="AA11">
        <v>3.52</v>
      </c>
      <c r="AB11">
        <v>1.82</v>
      </c>
      <c r="AC11">
        <v>0.01</v>
      </c>
      <c r="AD11">
        <v>2.96</v>
      </c>
      <c r="AE11">
        <v>4.48</v>
      </c>
      <c r="AF11">
        <v>2.39</v>
      </c>
    </row>
    <row r="12" spans="1:32" x14ac:dyDescent="0.25">
      <c r="A12" t="s">
        <v>85</v>
      </c>
      <c r="B12">
        <v>370</v>
      </c>
      <c r="C12" t="s">
        <v>86</v>
      </c>
      <c r="D12" t="s">
        <v>87</v>
      </c>
      <c r="E12" t="s">
        <v>88</v>
      </c>
      <c r="F12">
        <v>144.38</v>
      </c>
      <c r="G12">
        <v>120</v>
      </c>
      <c r="H12">
        <v>105</v>
      </c>
      <c r="I12">
        <v>150</v>
      </c>
      <c r="J12">
        <v>139</v>
      </c>
      <c r="K12">
        <v>140</v>
      </c>
      <c r="L12">
        <v>245.64</v>
      </c>
      <c r="M12">
        <v>95</v>
      </c>
      <c r="N12">
        <v>222.45</v>
      </c>
      <c r="O12">
        <v>150</v>
      </c>
      <c r="P12">
        <v>165</v>
      </c>
      <c r="Q12">
        <v>82</v>
      </c>
      <c r="R12">
        <v>130</v>
      </c>
      <c r="S12">
        <v>120</v>
      </c>
      <c r="T12">
        <v>140</v>
      </c>
      <c r="U12">
        <v>140</v>
      </c>
      <c r="V12">
        <v>96.25</v>
      </c>
      <c r="W12">
        <v>119.76</v>
      </c>
      <c r="X12">
        <v>105</v>
      </c>
      <c r="Y12">
        <v>130</v>
      </c>
      <c r="Z12">
        <v>180</v>
      </c>
      <c r="AA12">
        <v>70</v>
      </c>
      <c r="AB12">
        <v>102</v>
      </c>
      <c r="AC12">
        <v>148</v>
      </c>
      <c r="AD12">
        <v>115</v>
      </c>
      <c r="AE12">
        <v>92</v>
      </c>
      <c r="AF12">
        <v>157.85</v>
      </c>
    </row>
    <row r="13" spans="1:32" x14ac:dyDescent="0.25">
      <c r="A13" t="s">
        <v>85</v>
      </c>
      <c r="B13">
        <v>34353</v>
      </c>
      <c r="C13" t="s">
        <v>89</v>
      </c>
      <c r="D13" t="s">
        <v>90</v>
      </c>
      <c r="E13" t="s">
        <v>88</v>
      </c>
      <c r="F13">
        <v>2.66</v>
      </c>
      <c r="G13">
        <v>1.86</v>
      </c>
      <c r="H13">
        <v>2.36</v>
      </c>
      <c r="I13">
        <v>2.1</v>
      </c>
      <c r="J13">
        <v>1.69</v>
      </c>
      <c r="K13">
        <v>2.21</v>
      </c>
      <c r="L13">
        <v>1.24</v>
      </c>
      <c r="M13">
        <v>1.39</v>
      </c>
      <c r="N13">
        <v>1.58</v>
      </c>
      <c r="O13">
        <v>1.63</v>
      </c>
      <c r="P13">
        <v>1.3</v>
      </c>
      <c r="Q13">
        <v>1.76</v>
      </c>
      <c r="R13">
        <v>2.29</v>
      </c>
      <c r="S13">
        <v>1.67</v>
      </c>
      <c r="T13">
        <v>1.56</v>
      </c>
      <c r="U13">
        <v>2.04</v>
      </c>
      <c r="V13">
        <v>1.45</v>
      </c>
      <c r="W13">
        <v>1.52</v>
      </c>
      <c r="X13">
        <v>1.47</v>
      </c>
      <c r="Y13">
        <v>1.76</v>
      </c>
      <c r="Z13">
        <v>2.04</v>
      </c>
      <c r="AA13">
        <v>3.25</v>
      </c>
      <c r="AB13">
        <v>1.45</v>
      </c>
      <c r="AC13">
        <v>1.39</v>
      </c>
      <c r="AD13">
        <v>1.86</v>
      </c>
      <c r="AE13">
        <v>1.3</v>
      </c>
      <c r="AF13">
        <v>1.58</v>
      </c>
    </row>
    <row r="14" spans="1:32" x14ac:dyDescent="0.25">
      <c r="A14" t="s">
        <v>91</v>
      </c>
      <c r="B14">
        <v>10535</v>
      </c>
      <c r="C14" t="s">
        <v>92</v>
      </c>
      <c r="D14" t="s">
        <v>93</v>
      </c>
      <c r="E14" t="s">
        <v>84</v>
      </c>
      <c r="F14">
        <v>5749</v>
      </c>
      <c r="G14">
        <v>4800</v>
      </c>
      <c r="H14">
        <v>5214.65</v>
      </c>
      <c r="I14">
        <v>5950</v>
      </c>
      <c r="J14">
        <v>5615</v>
      </c>
      <c r="K14">
        <v>5809</v>
      </c>
      <c r="L14">
        <v>5200</v>
      </c>
      <c r="M14">
        <v>5265</v>
      </c>
      <c r="N14">
        <v>5800</v>
      </c>
      <c r="O14">
        <v>6043.35</v>
      </c>
      <c r="P14">
        <v>6447.5</v>
      </c>
      <c r="Q14">
        <v>4990</v>
      </c>
      <c r="R14">
        <v>5798.6</v>
      </c>
      <c r="S14">
        <v>5999.95</v>
      </c>
      <c r="U14">
        <v>5439</v>
      </c>
      <c r="V14">
        <v>6880.24</v>
      </c>
      <c r="W14">
        <v>5518.25</v>
      </c>
      <c r="X14">
        <v>5380</v>
      </c>
      <c r="Y14">
        <v>5200</v>
      </c>
      <c r="Z14">
        <v>6214</v>
      </c>
      <c r="AA14">
        <v>5445</v>
      </c>
      <c r="AB14">
        <v>4799.9</v>
      </c>
      <c r="AC14">
        <v>5290.68</v>
      </c>
      <c r="AE14">
        <v>5590</v>
      </c>
      <c r="AF14">
        <v>5685.01</v>
      </c>
    </row>
    <row r="15" spans="1:32" x14ac:dyDescent="0.25">
      <c r="A15" t="s">
        <v>85</v>
      </c>
      <c r="B15">
        <v>1106</v>
      </c>
      <c r="C15" t="s">
        <v>94</v>
      </c>
      <c r="D15" t="s">
        <v>90</v>
      </c>
      <c r="E15" t="s">
        <v>84</v>
      </c>
      <c r="F15">
        <v>2.64</v>
      </c>
      <c r="G15">
        <v>1.25</v>
      </c>
      <c r="H15">
        <v>1.19</v>
      </c>
      <c r="I15">
        <v>1.34</v>
      </c>
      <c r="J15">
        <v>1.72</v>
      </c>
      <c r="K15">
        <v>1.34</v>
      </c>
      <c r="L15">
        <v>1.58</v>
      </c>
      <c r="M15">
        <v>1.56</v>
      </c>
      <c r="N15">
        <v>1.35</v>
      </c>
      <c r="O15">
        <v>1.34</v>
      </c>
      <c r="P15">
        <v>1.33</v>
      </c>
      <c r="Q15">
        <v>1.3</v>
      </c>
      <c r="R15">
        <v>1.25</v>
      </c>
      <c r="S15">
        <v>1.34</v>
      </c>
      <c r="T15">
        <v>1.25</v>
      </c>
      <c r="U15">
        <v>1.8</v>
      </c>
      <c r="V15">
        <v>1.34</v>
      </c>
      <c r="W15">
        <v>0.83</v>
      </c>
      <c r="X15">
        <v>1.36</v>
      </c>
      <c r="Y15">
        <v>0.69</v>
      </c>
      <c r="Z15">
        <v>1.61</v>
      </c>
      <c r="AA15">
        <v>1.34</v>
      </c>
      <c r="AB15">
        <v>1.06</v>
      </c>
      <c r="AC15">
        <v>0.99</v>
      </c>
      <c r="AD15">
        <v>1.4</v>
      </c>
      <c r="AE15">
        <v>1.1</v>
      </c>
      <c r="AF15">
        <v>1.6</v>
      </c>
    </row>
    <row r="16" spans="1:32" x14ac:dyDescent="0.25">
      <c r="A16" t="s">
        <v>85</v>
      </c>
      <c r="B16">
        <v>1379</v>
      </c>
      <c r="C16" t="s">
        <v>95</v>
      </c>
      <c r="D16" t="s">
        <v>90</v>
      </c>
      <c r="E16" t="s">
        <v>84</v>
      </c>
      <c r="F16">
        <v>1.38</v>
      </c>
      <c r="G16">
        <v>0.96</v>
      </c>
      <c r="H16">
        <v>1.03</v>
      </c>
      <c r="I16">
        <v>1.14</v>
      </c>
      <c r="J16">
        <v>1.06</v>
      </c>
      <c r="K16">
        <v>0.84</v>
      </c>
      <c r="L16">
        <v>0.78</v>
      </c>
      <c r="M16">
        <v>0.74</v>
      </c>
      <c r="N16">
        <v>0.84</v>
      </c>
      <c r="O16">
        <v>1.11</v>
      </c>
      <c r="P16">
        <v>0.78</v>
      </c>
      <c r="Q16">
        <v>0.9</v>
      </c>
      <c r="R16">
        <v>1.05</v>
      </c>
      <c r="S16">
        <v>1.08</v>
      </c>
      <c r="T16">
        <v>0.88</v>
      </c>
      <c r="U16">
        <v>0.91</v>
      </c>
      <c r="V16">
        <v>1.14</v>
      </c>
      <c r="W16">
        <v>0.79</v>
      </c>
      <c r="X16">
        <v>0.68</v>
      </c>
      <c r="Y16">
        <v>0.88</v>
      </c>
      <c r="Z16">
        <v>1.3</v>
      </c>
      <c r="AA16">
        <v>1.67</v>
      </c>
      <c r="AB16">
        <v>0.91</v>
      </c>
      <c r="AC16">
        <v>0.9</v>
      </c>
      <c r="AD16">
        <v>0.94</v>
      </c>
      <c r="AE16">
        <v>0.7</v>
      </c>
      <c r="AF16">
        <v>1</v>
      </c>
    </row>
    <row r="17" spans="1:32" x14ac:dyDescent="0.25">
      <c r="A17" t="s">
        <v>96</v>
      </c>
      <c r="B17">
        <v>2705</v>
      </c>
      <c r="C17" t="s">
        <v>97</v>
      </c>
      <c r="D17" t="s">
        <v>98</v>
      </c>
      <c r="E17" t="s">
        <v>88</v>
      </c>
      <c r="F17">
        <v>1.3</v>
      </c>
      <c r="G17">
        <v>1.11</v>
      </c>
      <c r="H17">
        <v>0.98</v>
      </c>
      <c r="I17">
        <v>1.07</v>
      </c>
      <c r="J17">
        <v>1.14</v>
      </c>
      <c r="K17">
        <v>0.99</v>
      </c>
      <c r="L17">
        <v>0.8</v>
      </c>
      <c r="M17">
        <v>1.01</v>
      </c>
      <c r="N17">
        <v>1.18</v>
      </c>
      <c r="O17">
        <v>1.09</v>
      </c>
      <c r="P17">
        <v>1.16</v>
      </c>
      <c r="Q17">
        <v>1.28</v>
      </c>
      <c r="R17">
        <v>1.17</v>
      </c>
      <c r="S17">
        <v>1.22</v>
      </c>
      <c r="T17">
        <v>0.86</v>
      </c>
      <c r="U17">
        <v>1.03</v>
      </c>
      <c r="V17">
        <v>1.1</v>
      </c>
      <c r="W17">
        <v>0.85</v>
      </c>
      <c r="X17">
        <v>1.29</v>
      </c>
      <c r="Y17">
        <v>1.01</v>
      </c>
      <c r="Z17">
        <v>1.6</v>
      </c>
      <c r="AA17">
        <v>0.99</v>
      </c>
      <c r="AB17">
        <v>1.12</v>
      </c>
      <c r="AC17">
        <v>0.89</v>
      </c>
      <c r="AD17">
        <v>1</v>
      </c>
      <c r="AE17">
        <v>0.87</v>
      </c>
      <c r="AF17">
        <v>1.35</v>
      </c>
    </row>
    <row r="18" spans="1:32" x14ac:dyDescent="0.25">
      <c r="A18" t="s">
        <v>81</v>
      </c>
      <c r="B18">
        <v>43488</v>
      </c>
      <c r="C18" t="s">
        <v>99</v>
      </c>
      <c r="D18" t="s">
        <v>83</v>
      </c>
      <c r="E18" t="s">
        <v>84</v>
      </c>
      <c r="F18">
        <v>0.91</v>
      </c>
      <c r="G18">
        <v>0.91</v>
      </c>
      <c r="H18">
        <v>0.92</v>
      </c>
      <c r="I18">
        <v>1.09</v>
      </c>
      <c r="J18">
        <v>0.89</v>
      </c>
      <c r="K18">
        <v>0.94</v>
      </c>
      <c r="L18">
        <v>0.79</v>
      </c>
      <c r="M18">
        <v>0.8</v>
      </c>
      <c r="N18">
        <v>0.71</v>
      </c>
      <c r="O18">
        <v>0.83</v>
      </c>
      <c r="P18">
        <v>0.9</v>
      </c>
      <c r="Q18">
        <v>0.9</v>
      </c>
      <c r="R18">
        <v>1.08</v>
      </c>
      <c r="S18">
        <v>1.11</v>
      </c>
      <c r="T18">
        <v>1.05</v>
      </c>
      <c r="U18">
        <v>0.92</v>
      </c>
      <c r="V18">
        <v>1.13</v>
      </c>
      <c r="W18">
        <v>1.03</v>
      </c>
      <c r="X18">
        <v>1.07</v>
      </c>
      <c r="Y18">
        <v>0.78</v>
      </c>
      <c r="Z18">
        <v>0.98</v>
      </c>
      <c r="AA18">
        <v>1.16</v>
      </c>
      <c r="AB18">
        <v>1.02</v>
      </c>
      <c r="AC18">
        <v>0.97</v>
      </c>
      <c r="AD18">
        <v>0.8</v>
      </c>
      <c r="AE18">
        <v>0.92</v>
      </c>
      <c r="AF18">
        <v>1</v>
      </c>
    </row>
    <row r="19" spans="1:32" x14ac:dyDescent="0.25">
      <c r="A19" t="s">
        <v>81</v>
      </c>
      <c r="B19">
        <v>43489</v>
      </c>
      <c r="C19" t="s">
        <v>100</v>
      </c>
      <c r="D19" t="s">
        <v>83</v>
      </c>
      <c r="E19" t="s">
        <v>84</v>
      </c>
      <c r="F19">
        <v>1.46</v>
      </c>
      <c r="G19">
        <v>1.45</v>
      </c>
      <c r="H19">
        <v>1.46</v>
      </c>
      <c r="I19">
        <v>1.74</v>
      </c>
      <c r="J19">
        <v>1.41</v>
      </c>
      <c r="K19">
        <v>1.5</v>
      </c>
      <c r="L19">
        <v>1.26</v>
      </c>
      <c r="M19">
        <v>1.28</v>
      </c>
      <c r="N19">
        <v>1.13</v>
      </c>
      <c r="O19">
        <v>1.32</v>
      </c>
      <c r="P19">
        <v>1.43</v>
      </c>
      <c r="Q19">
        <v>1.43</v>
      </c>
      <c r="R19">
        <v>1.72</v>
      </c>
      <c r="S19">
        <v>1.76</v>
      </c>
      <c r="T19">
        <v>1.68</v>
      </c>
      <c r="U19">
        <v>1.47</v>
      </c>
      <c r="V19">
        <v>1.81</v>
      </c>
      <c r="W19">
        <v>1.64</v>
      </c>
      <c r="X19">
        <v>1.71</v>
      </c>
      <c r="Y19">
        <v>1.25</v>
      </c>
      <c r="Z19">
        <v>1.56</v>
      </c>
      <c r="AA19">
        <v>1.85</v>
      </c>
      <c r="AB19">
        <v>1.62</v>
      </c>
      <c r="AC19">
        <v>1.55</v>
      </c>
      <c r="AD19">
        <v>1.28</v>
      </c>
      <c r="AE19">
        <v>1.47</v>
      </c>
      <c r="AF19">
        <v>1.6</v>
      </c>
    </row>
    <row r="20" spans="1:32" x14ac:dyDescent="0.25">
      <c r="A20" t="s">
        <v>81</v>
      </c>
      <c r="B20">
        <v>43491</v>
      </c>
      <c r="C20" t="s">
        <v>101</v>
      </c>
      <c r="D20" t="s">
        <v>83</v>
      </c>
      <c r="E20" t="s">
        <v>84</v>
      </c>
      <c r="F20">
        <v>1.53</v>
      </c>
      <c r="G20">
        <v>1.52</v>
      </c>
      <c r="H20">
        <v>1.53</v>
      </c>
      <c r="I20">
        <v>1.82</v>
      </c>
      <c r="J20">
        <v>1.48</v>
      </c>
      <c r="K20">
        <v>1.57</v>
      </c>
      <c r="L20">
        <v>1.32</v>
      </c>
      <c r="M20">
        <v>1.34</v>
      </c>
      <c r="N20">
        <v>1.18</v>
      </c>
      <c r="O20">
        <v>1.38</v>
      </c>
      <c r="P20">
        <v>1.5</v>
      </c>
      <c r="Q20">
        <v>1.5</v>
      </c>
      <c r="R20">
        <v>1.8</v>
      </c>
      <c r="S20">
        <v>1.85</v>
      </c>
      <c r="T20">
        <v>1.75</v>
      </c>
      <c r="U20">
        <v>1.54</v>
      </c>
      <c r="V20">
        <v>1.89</v>
      </c>
      <c r="W20">
        <v>1.71</v>
      </c>
      <c r="X20">
        <v>1.79</v>
      </c>
      <c r="Y20">
        <v>1.31</v>
      </c>
      <c r="Z20">
        <v>1.63</v>
      </c>
      <c r="AA20">
        <v>1.94</v>
      </c>
      <c r="AB20">
        <v>1.7</v>
      </c>
      <c r="AC20">
        <v>1.62</v>
      </c>
      <c r="AD20">
        <v>1.34</v>
      </c>
      <c r="AE20">
        <v>1.54</v>
      </c>
      <c r="AF20">
        <v>1.67</v>
      </c>
    </row>
    <row r="21" spans="1:32" x14ac:dyDescent="0.25">
      <c r="A21" t="s">
        <v>81</v>
      </c>
      <c r="B21">
        <v>37372</v>
      </c>
      <c r="C21" t="s">
        <v>102</v>
      </c>
      <c r="D21" t="s">
        <v>83</v>
      </c>
      <c r="E21" t="s">
        <v>84</v>
      </c>
      <c r="F21">
        <v>1.32</v>
      </c>
      <c r="G21">
        <v>1.4</v>
      </c>
      <c r="H21">
        <v>1.29</v>
      </c>
      <c r="I21">
        <v>1.3</v>
      </c>
      <c r="J21">
        <v>1.49</v>
      </c>
      <c r="K21">
        <v>1.48</v>
      </c>
      <c r="L21">
        <v>1.31</v>
      </c>
      <c r="M21">
        <v>1.62</v>
      </c>
      <c r="N21">
        <v>1.58</v>
      </c>
      <c r="O21">
        <v>1.36</v>
      </c>
      <c r="P21">
        <v>1.57</v>
      </c>
      <c r="Q21">
        <v>1.67</v>
      </c>
      <c r="R21">
        <v>1.62</v>
      </c>
      <c r="S21">
        <v>1.51</v>
      </c>
      <c r="T21">
        <v>1.56</v>
      </c>
      <c r="U21">
        <v>1.24</v>
      </c>
      <c r="V21">
        <v>1.42</v>
      </c>
      <c r="W21">
        <v>1.58</v>
      </c>
      <c r="X21">
        <v>1.25</v>
      </c>
      <c r="Y21">
        <v>1.55</v>
      </c>
      <c r="Z21">
        <v>1.52</v>
      </c>
      <c r="AA21">
        <v>1.36</v>
      </c>
      <c r="AB21">
        <v>1.36</v>
      </c>
      <c r="AC21">
        <v>1.65</v>
      </c>
      <c r="AD21">
        <v>1.39</v>
      </c>
      <c r="AE21">
        <v>1.43</v>
      </c>
      <c r="AF21">
        <v>1.59</v>
      </c>
    </row>
    <row r="22" spans="1:32" x14ac:dyDescent="0.25">
      <c r="A22" t="s">
        <v>81</v>
      </c>
      <c r="B22">
        <v>43464</v>
      </c>
      <c r="C22" t="s">
        <v>103</v>
      </c>
      <c r="D22" t="s">
        <v>83</v>
      </c>
      <c r="E22" t="s">
        <v>84</v>
      </c>
      <c r="F22">
        <v>0.03</v>
      </c>
      <c r="G22">
        <v>0.02</v>
      </c>
      <c r="H22">
        <v>0.02</v>
      </c>
      <c r="I22">
        <v>0.03</v>
      </c>
      <c r="J22">
        <v>0.02</v>
      </c>
      <c r="K22">
        <v>0.02</v>
      </c>
      <c r="L22">
        <v>0.03</v>
      </c>
      <c r="M22">
        <v>0.02</v>
      </c>
      <c r="N22">
        <v>0.02</v>
      </c>
      <c r="O22">
        <v>0.03</v>
      </c>
      <c r="P22">
        <v>0.03</v>
      </c>
      <c r="Q22">
        <v>0.02</v>
      </c>
      <c r="R22">
        <v>0.03</v>
      </c>
      <c r="S22">
        <v>0.03</v>
      </c>
      <c r="T22">
        <v>0.03</v>
      </c>
      <c r="U22">
        <v>0.02</v>
      </c>
      <c r="V22">
        <v>0.05</v>
      </c>
      <c r="W22">
        <v>0.02</v>
      </c>
      <c r="X22">
        <v>0.02</v>
      </c>
      <c r="Y22">
        <v>0.03</v>
      </c>
      <c r="Z22">
        <v>0.03</v>
      </c>
      <c r="AA22">
        <v>0.03</v>
      </c>
      <c r="AB22">
        <v>0.03</v>
      </c>
      <c r="AC22">
        <v>0.03</v>
      </c>
      <c r="AD22">
        <v>0.02</v>
      </c>
      <c r="AE22">
        <v>0.02</v>
      </c>
      <c r="AF22">
        <v>0.03</v>
      </c>
    </row>
    <row r="23" spans="1:32" x14ac:dyDescent="0.25">
      <c r="A23" t="s">
        <v>81</v>
      </c>
      <c r="B23">
        <v>43465</v>
      </c>
      <c r="C23" t="s">
        <v>104</v>
      </c>
      <c r="D23" t="s">
        <v>83</v>
      </c>
      <c r="E23" t="s">
        <v>84</v>
      </c>
      <c r="F23">
        <v>0.7</v>
      </c>
      <c r="G23">
        <v>0.6</v>
      </c>
      <c r="H23">
        <v>0.57</v>
      </c>
      <c r="I23">
        <v>0.65</v>
      </c>
      <c r="J23">
        <v>0.59</v>
      </c>
      <c r="K23">
        <v>0.6</v>
      </c>
      <c r="L23">
        <v>0.71</v>
      </c>
      <c r="M23">
        <v>0.68</v>
      </c>
      <c r="N23">
        <v>0.62</v>
      </c>
      <c r="O23">
        <v>0.73</v>
      </c>
      <c r="P23">
        <v>0.8</v>
      </c>
      <c r="Q23">
        <v>0.81</v>
      </c>
      <c r="R23">
        <v>0.74</v>
      </c>
      <c r="S23">
        <v>0.65</v>
      </c>
      <c r="T23">
        <v>0.63</v>
      </c>
      <c r="U23">
        <v>0.6</v>
      </c>
      <c r="V23">
        <v>0.9</v>
      </c>
      <c r="W23">
        <v>0.6</v>
      </c>
      <c r="X23">
        <v>0.64</v>
      </c>
      <c r="Y23">
        <v>0.66</v>
      </c>
      <c r="Z23">
        <v>0.74</v>
      </c>
      <c r="AA23">
        <v>0.63</v>
      </c>
      <c r="AB23">
        <v>0.71</v>
      </c>
      <c r="AC23">
        <v>0.72</v>
      </c>
      <c r="AD23">
        <v>0.61</v>
      </c>
      <c r="AE23">
        <v>0.73</v>
      </c>
      <c r="AF23">
        <v>0.83</v>
      </c>
    </row>
    <row r="24" spans="1:32" x14ac:dyDescent="0.25">
      <c r="A24" t="s">
        <v>81</v>
      </c>
      <c r="B24">
        <v>43467</v>
      </c>
      <c r="C24" t="s">
        <v>105</v>
      </c>
      <c r="D24" t="s">
        <v>83</v>
      </c>
      <c r="E24" t="s">
        <v>84</v>
      </c>
      <c r="F24">
        <v>0.6</v>
      </c>
      <c r="G24">
        <v>0.48</v>
      </c>
      <c r="H24">
        <v>0.57</v>
      </c>
      <c r="I24">
        <v>0.61</v>
      </c>
      <c r="J24">
        <v>0.47</v>
      </c>
      <c r="K24">
        <v>0.57</v>
      </c>
      <c r="L24">
        <v>0.58</v>
      </c>
      <c r="M24">
        <v>0.57</v>
      </c>
      <c r="N24">
        <v>0.56</v>
      </c>
      <c r="O24">
        <v>0.58</v>
      </c>
      <c r="P24">
        <v>0.67</v>
      </c>
      <c r="Q24">
        <v>0.49</v>
      </c>
      <c r="R24">
        <v>0.6</v>
      </c>
      <c r="S24">
        <v>0.56</v>
      </c>
      <c r="T24">
        <v>0.58</v>
      </c>
      <c r="U24">
        <v>0.5</v>
      </c>
      <c r="V24">
        <v>1</v>
      </c>
      <c r="W24">
        <v>0.42</v>
      </c>
      <c r="X24">
        <v>0.56</v>
      </c>
      <c r="Y24">
        <v>0.62</v>
      </c>
      <c r="Z24">
        <v>0.63</v>
      </c>
      <c r="AA24">
        <v>0.64</v>
      </c>
      <c r="AB24">
        <v>0.57</v>
      </c>
      <c r="AC24">
        <v>0.6</v>
      </c>
      <c r="AD24">
        <v>0.49</v>
      </c>
      <c r="AE24">
        <v>0.57</v>
      </c>
      <c r="AF24">
        <v>0.69</v>
      </c>
    </row>
    <row r="25" spans="1:32" x14ac:dyDescent="0.25">
      <c r="A25" t="s">
        <v>106</v>
      </c>
      <c r="B25">
        <v>37666</v>
      </c>
      <c r="C25" t="s">
        <v>107</v>
      </c>
      <c r="D25" t="s">
        <v>83</v>
      </c>
      <c r="E25" t="s">
        <v>88</v>
      </c>
      <c r="F25">
        <v>8.34</v>
      </c>
      <c r="G25">
        <v>7.2</v>
      </c>
      <c r="H25">
        <v>11.98</v>
      </c>
      <c r="I25">
        <v>7.11</v>
      </c>
      <c r="J25">
        <v>16.79</v>
      </c>
      <c r="K25">
        <v>10.56</v>
      </c>
      <c r="L25">
        <v>9.5</v>
      </c>
      <c r="M25">
        <v>11.19</v>
      </c>
      <c r="N25">
        <v>7.2</v>
      </c>
      <c r="O25">
        <v>12.63</v>
      </c>
      <c r="P25">
        <v>11.08</v>
      </c>
      <c r="Q25">
        <v>10.61</v>
      </c>
      <c r="R25">
        <v>8.4</v>
      </c>
      <c r="S25">
        <v>9.4</v>
      </c>
      <c r="T25">
        <v>7.62</v>
      </c>
      <c r="U25">
        <v>8.15</v>
      </c>
      <c r="V25">
        <v>10.77</v>
      </c>
      <c r="W25">
        <v>13.05</v>
      </c>
      <c r="X25">
        <v>11.75</v>
      </c>
      <c r="Y25">
        <v>9.64</v>
      </c>
      <c r="Z25">
        <v>9.54</v>
      </c>
      <c r="AA25">
        <v>7.75</v>
      </c>
      <c r="AB25">
        <v>12.4</v>
      </c>
      <c r="AC25">
        <v>15.61</v>
      </c>
      <c r="AD25">
        <v>9.81</v>
      </c>
      <c r="AE25">
        <v>12.42</v>
      </c>
      <c r="AF25">
        <v>7.53</v>
      </c>
    </row>
    <row r="26" spans="1:32" x14ac:dyDescent="0.25">
      <c r="A26" t="s">
        <v>106</v>
      </c>
      <c r="B26">
        <v>4750</v>
      </c>
      <c r="C26" t="s">
        <v>108</v>
      </c>
      <c r="D26" t="s">
        <v>83</v>
      </c>
      <c r="E26" t="s">
        <v>84</v>
      </c>
      <c r="F26">
        <v>11.91</v>
      </c>
      <c r="G26">
        <v>9.38</v>
      </c>
      <c r="H26">
        <v>10.78</v>
      </c>
      <c r="I26">
        <v>10.4</v>
      </c>
      <c r="J26">
        <v>11.83</v>
      </c>
      <c r="K26">
        <v>10.83</v>
      </c>
      <c r="L26">
        <v>11.52</v>
      </c>
      <c r="M26">
        <v>10.91</v>
      </c>
      <c r="N26">
        <v>12.26</v>
      </c>
      <c r="O26">
        <v>10.44</v>
      </c>
      <c r="P26">
        <v>11.96</v>
      </c>
      <c r="Q26">
        <v>10.41</v>
      </c>
      <c r="R26">
        <v>10.86</v>
      </c>
      <c r="S26">
        <v>9.99</v>
      </c>
      <c r="T26">
        <v>10.57</v>
      </c>
      <c r="U26">
        <v>10.94</v>
      </c>
      <c r="V26">
        <v>10.2</v>
      </c>
      <c r="W26">
        <v>14.26</v>
      </c>
      <c r="X26">
        <v>13.94</v>
      </c>
      <c r="Y26">
        <v>9.25</v>
      </c>
      <c r="Z26">
        <v>11.13</v>
      </c>
      <c r="AA26">
        <v>11.89</v>
      </c>
      <c r="AB26">
        <v>11.31</v>
      </c>
      <c r="AC26">
        <v>15.11</v>
      </c>
      <c r="AD26">
        <v>10.16</v>
      </c>
      <c r="AE26">
        <v>12.74</v>
      </c>
      <c r="AF26">
        <v>9.9</v>
      </c>
    </row>
    <row r="27" spans="1:32" x14ac:dyDescent="0.25">
      <c r="A27" t="s">
        <v>85</v>
      </c>
      <c r="B27">
        <v>36178</v>
      </c>
      <c r="C27" t="s">
        <v>109</v>
      </c>
      <c r="D27" t="s">
        <v>93</v>
      </c>
      <c r="E27" t="s">
        <v>88</v>
      </c>
      <c r="F27">
        <v>31.29</v>
      </c>
      <c r="G27">
        <v>15.44</v>
      </c>
      <c r="H27">
        <v>23.05</v>
      </c>
      <c r="I27">
        <v>21.07</v>
      </c>
      <c r="J27">
        <v>15.44</v>
      </c>
      <c r="K27">
        <v>15.32</v>
      </c>
      <c r="L27">
        <v>18.52</v>
      </c>
      <c r="M27">
        <v>17.61</v>
      </c>
      <c r="N27">
        <v>19.38</v>
      </c>
      <c r="O27">
        <v>17.63</v>
      </c>
      <c r="P27">
        <v>15.43</v>
      </c>
      <c r="Q27">
        <v>17.29</v>
      </c>
      <c r="R27">
        <v>23.07</v>
      </c>
      <c r="S27">
        <v>18.31</v>
      </c>
      <c r="T27">
        <v>13.62</v>
      </c>
      <c r="U27">
        <v>14.91</v>
      </c>
      <c r="V27">
        <v>14.23</v>
      </c>
      <c r="W27">
        <v>11.69</v>
      </c>
      <c r="X27">
        <v>16.77</v>
      </c>
      <c r="Y27">
        <v>15.42</v>
      </c>
      <c r="Z27">
        <v>23.17</v>
      </c>
      <c r="AA27">
        <v>29.79</v>
      </c>
      <c r="AB27">
        <v>14.06</v>
      </c>
      <c r="AC27">
        <v>13.68</v>
      </c>
      <c r="AD27">
        <v>18.09</v>
      </c>
      <c r="AE27">
        <v>20.33</v>
      </c>
      <c r="AF27">
        <v>21.95</v>
      </c>
    </row>
    <row r="28" spans="1:32" x14ac:dyDescent="0.25">
      <c r="A28" t="s">
        <v>85</v>
      </c>
      <c r="B28">
        <v>34357</v>
      </c>
      <c r="C28" t="s">
        <v>110</v>
      </c>
      <c r="D28" t="s">
        <v>90</v>
      </c>
      <c r="E28" t="s">
        <v>88</v>
      </c>
      <c r="F28">
        <v>8.39</v>
      </c>
      <c r="G28">
        <v>5.87</v>
      </c>
      <c r="H28">
        <v>7.45</v>
      </c>
      <c r="I28">
        <v>6.63</v>
      </c>
      <c r="J28">
        <v>5.34</v>
      </c>
      <c r="K28">
        <v>6.98</v>
      </c>
      <c r="L28">
        <v>3.93</v>
      </c>
      <c r="M28">
        <v>4.4</v>
      </c>
      <c r="N28">
        <v>4.99</v>
      </c>
      <c r="O28">
        <v>5.16</v>
      </c>
      <c r="P28">
        <v>4.11</v>
      </c>
      <c r="Q28">
        <v>5.57</v>
      </c>
      <c r="R28">
        <v>7.22</v>
      </c>
      <c r="S28">
        <v>5.28</v>
      </c>
      <c r="T28">
        <v>4.93</v>
      </c>
      <c r="U28">
        <v>6.45</v>
      </c>
      <c r="V28">
        <v>4.58</v>
      </c>
      <c r="W28">
        <v>4.81</v>
      </c>
      <c r="X28">
        <v>4.63</v>
      </c>
      <c r="Y28">
        <v>5.57</v>
      </c>
      <c r="Z28">
        <v>6.45</v>
      </c>
      <c r="AA28">
        <v>10.27</v>
      </c>
      <c r="AB28">
        <v>4.58</v>
      </c>
      <c r="AC28">
        <v>4.4</v>
      </c>
      <c r="AD28">
        <v>5.87</v>
      </c>
      <c r="AE28">
        <v>4.11</v>
      </c>
      <c r="AF28">
        <v>4.99</v>
      </c>
    </row>
    <row r="29" spans="1:32" x14ac:dyDescent="0.25">
      <c r="A29" t="s">
        <v>81</v>
      </c>
      <c r="B29">
        <v>37373</v>
      </c>
      <c r="C29" t="s">
        <v>111</v>
      </c>
      <c r="D29" t="s">
        <v>83</v>
      </c>
      <c r="E29" t="s">
        <v>84</v>
      </c>
      <c r="F29">
        <v>0.11</v>
      </c>
      <c r="G29">
        <v>0.11</v>
      </c>
      <c r="H29">
        <v>0.11</v>
      </c>
      <c r="I29">
        <v>0.01</v>
      </c>
      <c r="J29">
        <v>0.11</v>
      </c>
      <c r="K29">
        <v>0.11</v>
      </c>
      <c r="L29">
        <v>0.11</v>
      </c>
      <c r="M29">
        <v>0.11</v>
      </c>
      <c r="N29">
        <v>0.1</v>
      </c>
      <c r="O29">
        <v>0.11</v>
      </c>
      <c r="P29">
        <v>0.11</v>
      </c>
      <c r="Q29">
        <v>0.11</v>
      </c>
      <c r="R29">
        <v>0.1</v>
      </c>
      <c r="S29">
        <v>0.11</v>
      </c>
      <c r="T29">
        <v>0.01</v>
      </c>
      <c r="U29">
        <v>0.11</v>
      </c>
      <c r="V29">
        <v>0.11</v>
      </c>
      <c r="W29">
        <v>0.06</v>
      </c>
      <c r="X29">
        <v>0.11</v>
      </c>
      <c r="Y29">
        <v>0.11</v>
      </c>
      <c r="Z29">
        <v>0.01</v>
      </c>
      <c r="AA29">
        <v>0.01</v>
      </c>
      <c r="AB29">
        <v>0.11</v>
      </c>
      <c r="AC29">
        <v>0.11</v>
      </c>
      <c r="AD29">
        <v>0.11</v>
      </c>
      <c r="AE29">
        <v>0.11</v>
      </c>
      <c r="AF29">
        <v>0.11</v>
      </c>
    </row>
    <row r="30" spans="1:32" x14ac:dyDescent="0.25">
      <c r="A30" t="s">
        <v>106</v>
      </c>
      <c r="B30">
        <v>6111</v>
      </c>
      <c r="C30" t="s">
        <v>112</v>
      </c>
      <c r="D30" t="s">
        <v>83</v>
      </c>
      <c r="E30" t="s">
        <v>84</v>
      </c>
      <c r="F30">
        <v>8.18</v>
      </c>
      <c r="G30">
        <v>7.37</v>
      </c>
      <c r="H30">
        <v>7.97</v>
      </c>
      <c r="I30">
        <v>7.53</v>
      </c>
      <c r="J30">
        <v>7.52</v>
      </c>
      <c r="K30">
        <v>7.47</v>
      </c>
      <c r="L30">
        <v>7.9</v>
      </c>
      <c r="M30">
        <v>8.19</v>
      </c>
      <c r="N30">
        <v>7.52</v>
      </c>
      <c r="O30">
        <v>7.53</v>
      </c>
      <c r="P30">
        <v>8.03</v>
      </c>
      <c r="Q30">
        <v>7.77</v>
      </c>
      <c r="R30">
        <v>8.09</v>
      </c>
      <c r="S30">
        <v>7.37</v>
      </c>
      <c r="T30">
        <v>7.88</v>
      </c>
      <c r="U30">
        <v>8.23</v>
      </c>
      <c r="V30">
        <v>7.46</v>
      </c>
      <c r="W30">
        <v>10.08</v>
      </c>
      <c r="X30">
        <v>10.71</v>
      </c>
      <c r="Y30">
        <v>7.48</v>
      </c>
      <c r="Z30">
        <v>9.07</v>
      </c>
      <c r="AA30">
        <v>7.41</v>
      </c>
      <c r="AB30">
        <v>8.89</v>
      </c>
      <c r="AC30">
        <v>10.54</v>
      </c>
      <c r="AD30">
        <v>7.37</v>
      </c>
      <c r="AE30">
        <v>10.47</v>
      </c>
      <c r="AF30">
        <v>7.37</v>
      </c>
    </row>
    <row r="31" spans="1:32" x14ac:dyDescent="0.25">
      <c r="A31" t="s">
        <v>81</v>
      </c>
      <c r="B31">
        <v>37371</v>
      </c>
      <c r="C31" t="s">
        <v>113</v>
      </c>
      <c r="D31" t="s">
        <v>83</v>
      </c>
      <c r="E31" t="s">
        <v>84</v>
      </c>
      <c r="F31">
        <v>0.27</v>
      </c>
      <c r="G31">
        <v>0.48</v>
      </c>
      <c r="H31">
        <v>1.67</v>
      </c>
      <c r="I31">
        <v>0.38</v>
      </c>
      <c r="J31">
        <v>0.88</v>
      </c>
      <c r="K31">
        <v>1.09</v>
      </c>
      <c r="L31">
        <v>1.52</v>
      </c>
      <c r="M31">
        <v>0.66</v>
      </c>
      <c r="N31">
        <v>0.55</v>
      </c>
      <c r="O31">
        <v>0.51</v>
      </c>
      <c r="P31">
        <v>0.9</v>
      </c>
      <c r="Q31">
        <v>1.04</v>
      </c>
      <c r="R31">
        <v>0.7</v>
      </c>
      <c r="S31">
        <v>1.19</v>
      </c>
      <c r="T31">
        <v>0.78</v>
      </c>
      <c r="U31">
        <v>0.5</v>
      </c>
      <c r="V31">
        <v>0.48</v>
      </c>
      <c r="W31">
        <v>0.79</v>
      </c>
      <c r="X31">
        <v>1.72</v>
      </c>
      <c r="Y31">
        <v>0.73</v>
      </c>
      <c r="Z31">
        <v>0.08</v>
      </c>
      <c r="AA31">
        <v>0.85</v>
      </c>
      <c r="AB31">
        <v>1.02</v>
      </c>
      <c r="AC31">
        <v>0.98</v>
      </c>
      <c r="AD31">
        <v>0.63</v>
      </c>
      <c r="AE31">
        <v>1.07</v>
      </c>
      <c r="AF31">
        <v>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117</v>
      </c>
    </row>
    <row r="3" spans="1:4" x14ac:dyDescent="0.25">
      <c r="A3" t="s">
        <v>7</v>
      </c>
      <c r="B3" t="s">
        <v>8</v>
      </c>
      <c r="D3" t="s">
        <v>9</v>
      </c>
    </row>
    <row r="4" spans="1:57" x14ac:dyDescent="0.25">
      <c r="A4" t="s">
        <v>10</v>
      </c>
      <c r="B4" t="s">
        <v>11</v>
      </c>
      <c r="D4" t="s">
        <v>12</v>
      </c>
      <c r="E4" t="s">
        <v>13</v>
      </c>
      <c r="G4" t="s">
        <v>14</v>
      </c>
      <c r="I4" t="s">
        <v>15</v>
      </c>
      <c r="K4" t="s">
        <v>16</v>
      </c>
      <c r="M4" t="s">
        <v>17</v>
      </c>
      <c r="O4" t="s">
        <v>18</v>
      </c>
      <c r="Q4" t="s">
        <v>19</v>
      </c>
      <c r="S4" t="s">
        <v>20</v>
      </c>
      <c r="U4" t="s">
        <v>21</v>
      </c>
      <c r="W4" t="s">
        <v>22</v>
      </c>
      <c r="Y4" t="s">
        <v>23</v>
      </c>
      <c r="AA4" t="s">
        <v>24</v>
      </c>
      <c r="AC4" t="s">
        <v>25</v>
      </c>
      <c r="AE4" t="s">
        <v>26</v>
      </c>
      <c r="AG4" t="s">
        <v>27</v>
      </c>
      <c r="AI4" t="s">
        <v>28</v>
      </c>
      <c r="AK4" t="s">
        <v>29</v>
      </c>
      <c r="AM4" t="s">
        <v>30</v>
      </c>
      <c r="AO4" t="s">
        <v>31</v>
      </c>
      <c r="AQ4" t="s">
        <v>32</v>
      </c>
      <c r="AS4" t="s">
        <v>33</v>
      </c>
      <c r="AU4" t="s">
        <v>34</v>
      </c>
      <c r="AW4" t="s">
        <v>35</v>
      </c>
      <c r="AY4" t="s">
        <v>36</v>
      </c>
      <c r="BA4" t="s">
        <v>37</v>
      </c>
      <c r="BC4" t="s">
        <v>38</v>
      </c>
      <c r="BE4" t="s">
        <v>39</v>
      </c>
    </row>
    <row r="5" spans="4:57" x14ac:dyDescent="0.25">
      <c r="D5" t="s">
        <v>40</v>
      </c>
      <c r="E5" t="s">
        <v>41</v>
      </c>
      <c r="G5" t="s">
        <v>42</v>
      </c>
      <c r="I5" t="s">
        <v>43</v>
      </c>
      <c r="K5" t="s">
        <v>44</v>
      </c>
      <c r="M5" t="s">
        <v>45</v>
      </c>
      <c r="O5" t="s">
        <v>46</v>
      </c>
      <c r="Q5" t="s">
        <v>47</v>
      </c>
      <c r="S5" t="s">
        <v>48</v>
      </c>
      <c r="U5" t="s">
        <v>49</v>
      </c>
      <c r="W5" t="s">
        <v>50</v>
      </c>
      <c r="Y5" t="s">
        <v>51</v>
      </c>
      <c r="AA5" t="s">
        <v>52</v>
      </c>
      <c r="AC5" t="s">
        <v>53</v>
      </c>
      <c r="AE5" t="s">
        <v>54</v>
      </c>
      <c r="AG5" t="s">
        <v>55</v>
      </c>
      <c r="AI5" t="s">
        <v>56</v>
      </c>
      <c r="AK5" t="s">
        <v>57</v>
      </c>
      <c r="AM5" t="s">
        <v>58</v>
      </c>
      <c r="AO5" t="s">
        <v>59</v>
      </c>
      <c r="AQ5" t="s">
        <v>60</v>
      </c>
      <c r="AS5" t="s">
        <v>61</v>
      </c>
      <c r="AU5" t="s">
        <v>62</v>
      </c>
      <c r="AW5" t="s">
        <v>63</v>
      </c>
      <c r="AY5" t="s">
        <v>64</v>
      </c>
      <c r="BA5" t="s">
        <v>65</v>
      </c>
      <c r="BC5" t="s">
        <v>66</v>
      </c>
      <c r="BE5" t="s">
        <v>67</v>
      </c>
    </row>
    <row r="6" spans="1:57" x14ac:dyDescent="0.25">
      <c r="A6" t="s">
        <v>118</v>
      </c>
      <c r="B6" t="s">
        <v>119</v>
      </c>
      <c r="D6" t="s">
        <v>71</v>
      </c>
      <c r="E6">
        <v>1.1261</v>
      </c>
      <c r="G6">
        <v>1.1612</v>
      </c>
      <c r="I6">
        <v>1.1416</v>
      </c>
      <c r="K6">
        <v>1.1518</v>
      </c>
      <c r="M6">
        <v>1.1773</v>
      </c>
      <c r="O6">
        <v>1.1561</v>
      </c>
      <c r="Q6">
        <v>1.1008</v>
      </c>
      <c r="S6">
        <v>1.183</v>
      </c>
      <c r="U6">
        <v>1.0772</v>
      </c>
      <c r="W6">
        <v>1.1411</v>
      </c>
      <c r="Y6">
        <v>1.1623</v>
      </c>
      <c r="AA6">
        <v>1.1571</v>
      </c>
      <c r="AC6">
        <v>1.0533</v>
      </c>
      <c r="AE6">
        <v>1.1942</v>
      </c>
      <c r="AG6">
        <v>1.1819</v>
      </c>
      <c r="AI6">
        <v>1.1463</v>
      </c>
      <c r="AK6">
        <v>1.1378</v>
      </c>
      <c r="AM6">
        <v>1.1628</v>
      </c>
      <c r="AO6">
        <v>1.1249</v>
      </c>
      <c r="AQ6">
        <v>1.1683</v>
      </c>
      <c r="AS6">
        <v>1.1571</v>
      </c>
      <c r="AU6">
        <v>1.1479</v>
      </c>
      <c r="AW6">
        <v>1.1195</v>
      </c>
      <c r="AY6">
        <v>1.1447</v>
      </c>
      <c r="BA6">
        <v>1.1151</v>
      </c>
      <c r="BC6">
        <v>1.1501</v>
      </c>
      <c r="BE6">
        <v>1.1523</v>
      </c>
    </row>
    <row r="7" spans="2:57" x14ac:dyDescent="0.25">
      <c r="B7" t="s">
        <v>120</v>
      </c>
      <c r="D7" t="s">
        <v>73</v>
      </c>
      <c r="E7">
        <v>0.6903</v>
      </c>
      <c r="G7">
        <v>0.7125</v>
      </c>
      <c r="I7">
        <v>0.708</v>
      </c>
      <c r="K7">
        <v>0.7006</v>
      </c>
      <c r="M7">
        <v>0.7285</v>
      </c>
      <c r="O7">
        <v>0.7246</v>
      </c>
      <c r="Q7">
        <v>0.6994</v>
      </c>
      <c r="S7">
        <v>0.7385</v>
      </c>
      <c r="U7">
        <v>0.6928</v>
      </c>
      <c r="W7">
        <v>0.713</v>
      </c>
      <c r="Y7">
        <v>0.7383</v>
      </c>
      <c r="AA7">
        <v>0.7157</v>
      </c>
      <c r="AC7">
        <v>0.6783</v>
      </c>
      <c r="AE7">
        <v>0.727</v>
      </c>
      <c r="AG7">
        <v>0.7266</v>
      </c>
      <c r="AI7">
        <v>0.7067</v>
      </c>
      <c r="AK7">
        <v>0.7159</v>
      </c>
      <c r="AM7">
        <v>0.7242</v>
      </c>
      <c r="AO7">
        <v>0.6966</v>
      </c>
      <c r="AQ7">
        <v>0.7229</v>
      </c>
      <c r="AS7">
        <v>0.7065</v>
      </c>
      <c r="AU7">
        <v>0.7035</v>
      </c>
      <c r="AW7">
        <v>0.6929</v>
      </c>
      <c r="AY7">
        <v>0.7103</v>
      </c>
      <c r="BA7">
        <v>0.6972</v>
      </c>
      <c r="BC7">
        <v>0.7118</v>
      </c>
      <c r="BE7">
        <v>0.7198</v>
      </c>
    </row>
    <row r="8" spans="2:2" x14ac:dyDescent="0.25">
      <c r="B8" t="s">
        <v>121</v>
      </c>
    </row>
    <row r="9" spans="2:57" x14ac:dyDescent="0.25">
      <c r="B9" t="s">
        <v>122</v>
      </c>
      <c r="E9" t="s">
        <v>13</v>
      </c>
      <c r="G9" t="s">
        <v>14</v>
      </c>
      <c r="I9" t="s">
        <v>15</v>
      </c>
      <c r="K9" t="s">
        <v>16</v>
      </c>
      <c r="M9" t="s">
        <v>17</v>
      </c>
      <c r="O9" t="s">
        <v>18</v>
      </c>
      <c r="Q9" t="s">
        <v>19</v>
      </c>
      <c r="S9" t="s">
        <v>20</v>
      </c>
      <c r="U9" t="s">
        <v>21</v>
      </c>
      <c r="W9" t="s">
        <v>22</v>
      </c>
      <c r="Y9" t="s">
        <v>23</v>
      </c>
      <c r="AA9" t="s">
        <v>24</v>
      </c>
      <c r="AC9" t="s">
        <v>25</v>
      </c>
      <c r="AE9" t="s">
        <v>26</v>
      </c>
      <c r="AG9" t="s">
        <v>27</v>
      </c>
      <c r="AI9" t="s">
        <v>28</v>
      </c>
      <c r="AK9" t="s">
        <v>29</v>
      </c>
      <c r="AM9" t="s">
        <v>30</v>
      </c>
      <c r="AO9" t="s">
        <v>31</v>
      </c>
      <c r="AQ9" t="s">
        <v>32</v>
      </c>
      <c r="AS9" t="s">
        <v>33</v>
      </c>
      <c r="AU9" t="s">
        <v>34</v>
      </c>
      <c r="AW9" t="s">
        <v>35</v>
      </c>
      <c r="AY9" t="s">
        <v>36</v>
      </c>
      <c r="BA9" t="s">
        <v>37</v>
      </c>
      <c r="BC9" t="s">
        <v>38</v>
      </c>
      <c r="BE9" t="s">
        <v>39</v>
      </c>
    </row>
    <row r="10" spans="1:58" x14ac:dyDescent="0.25">
      <c r="A10" t="s">
        <v>123</v>
      </c>
      <c r="B10" t="s">
        <v>124</v>
      </c>
      <c r="C10" t="s">
        <v>125</v>
      </c>
      <c r="D10" t="s">
        <v>79</v>
      </c>
      <c r="E10" t="s">
        <v>126</v>
      </c>
      <c r="F10" t="s">
        <v>127</v>
      </c>
      <c r="G10" t="s">
        <v>126</v>
      </c>
      <c r="H10" t="s">
        <v>127</v>
      </c>
      <c r="I10" t="s">
        <v>126</v>
      </c>
      <c r="J10" t="s">
        <v>127</v>
      </c>
      <c r="K10" t="s">
        <v>126</v>
      </c>
      <c r="L10" t="s">
        <v>127</v>
      </c>
      <c r="M10" t="s">
        <v>126</v>
      </c>
      <c r="N10" t="s">
        <v>127</v>
      </c>
      <c r="O10" t="s">
        <v>126</v>
      </c>
      <c r="P10" t="s">
        <v>127</v>
      </c>
      <c r="Q10" t="s">
        <v>126</v>
      </c>
      <c r="R10" t="s">
        <v>127</v>
      </c>
      <c r="S10" t="s">
        <v>126</v>
      </c>
      <c r="T10" t="s">
        <v>127</v>
      </c>
      <c r="U10" t="s">
        <v>126</v>
      </c>
      <c r="V10" t="s">
        <v>127</v>
      </c>
      <c r="W10" t="s">
        <v>126</v>
      </c>
      <c r="X10" t="s">
        <v>127</v>
      </c>
      <c r="Y10" t="s">
        <v>126</v>
      </c>
      <c r="Z10" t="s">
        <v>127</v>
      </c>
      <c r="AA10" t="s">
        <v>126</v>
      </c>
      <c r="AB10" t="s">
        <v>127</v>
      </c>
      <c r="AC10" t="s">
        <v>126</v>
      </c>
      <c r="AD10" t="s">
        <v>127</v>
      </c>
      <c r="AE10" t="s">
        <v>126</v>
      </c>
      <c r="AF10" t="s">
        <v>127</v>
      </c>
      <c r="AG10" t="s">
        <v>126</v>
      </c>
      <c r="AH10" t="s">
        <v>127</v>
      </c>
      <c r="AI10" t="s">
        <v>126</v>
      </c>
      <c r="AJ10" t="s">
        <v>127</v>
      </c>
      <c r="AK10" t="s">
        <v>126</v>
      </c>
      <c r="AL10" t="s">
        <v>127</v>
      </c>
      <c r="AM10" t="s">
        <v>126</v>
      </c>
      <c r="AN10" t="s">
        <v>127</v>
      </c>
      <c r="AO10" t="s">
        <v>126</v>
      </c>
      <c r="AP10" t="s">
        <v>127</v>
      </c>
      <c r="AQ10" t="s">
        <v>126</v>
      </c>
      <c r="AR10" t="s">
        <v>127</v>
      </c>
      <c r="AS10" t="s">
        <v>126</v>
      </c>
      <c r="AT10" t="s">
        <v>127</v>
      </c>
      <c r="AU10" t="s">
        <v>126</v>
      </c>
      <c r="AV10" t="s">
        <v>127</v>
      </c>
      <c r="AW10" t="s">
        <v>126</v>
      </c>
      <c r="AX10" t="s">
        <v>127</v>
      </c>
      <c r="AY10" t="s">
        <v>126</v>
      </c>
      <c r="AZ10" t="s">
        <v>127</v>
      </c>
      <c r="BA10" t="s">
        <v>126</v>
      </c>
      <c r="BB10" t="s">
        <v>127</v>
      </c>
      <c r="BC10" t="s">
        <v>126</v>
      </c>
      <c r="BD10" t="s">
        <v>127</v>
      </c>
      <c r="BE10" t="s">
        <v>126</v>
      </c>
      <c r="BF10" t="s">
        <v>127</v>
      </c>
    </row>
    <row r="11" spans="1:58" x14ac:dyDescent="0.25">
      <c r="A11" t="s">
        <v>128</v>
      </c>
      <c r="B11">
        <f>HYPERLINK("#"&amp;CELL("address",OFFSET(Analítico!$B$1,MATCH(104658,Analítico!$B:$B,0)-1,3)),104658)</f>
      </c>
      <c r="C11" t="s">
        <v>129</v>
      </c>
      <c r="D11" t="s">
        <v>130</v>
      </c>
      <c r="E11">
        <v>279.44</v>
      </c>
      <c r="F11">
        <v>0</v>
      </c>
      <c r="G11">
        <v>163.64</v>
      </c>
      <c r="H11">
        <v>0</v>
      </c>
      <c r="I11">
        <v>228.39</v>
      </c>
      <c r="J11">
        <v>0</v>
      </c>
      <c r="K11">
        <v>200.2</v>
      </c>
      <c r="L11">
        <v>0</v>
      </c>
      <c r="M11">
        <v>171.51</v>
      </c>
      <c r="N11">
        <v>0</v>
      </c>
      <c r="O11">
        <v>172.77</v>
      </c>
      <c r="P11">
        <v>0</v>
      </c>
      <c r="Q11">
        <v>185.84</v>
      </c>
      <c r="R11">
        <v>0</v>
      </c>
      <c r="S11">
        <v>188.15</v>
      </c>
      <c r="T11">
        <v>0</v>
      </c>
      <c r="U11">
        <v>191.09</v>
      </c>
      <c r="V11">
        <v>0</v>
      </c>
      <c r="W11">
        <v>176.23</v>
      </c>
      <c r="X11">
        <v>0</v>
      </c>
      <c r="Y11">
        <v>164.81</v>
      </c>
      <c r="Z11">
        <v>0</v>
      </c>
      <c r="AA11">
        <v>177.02</v>
      </c>
      <c r="AB11">
        <v>0</v>
      </c>
      <c r="AC11">
        <v>221.04</v>
      </c>
      <c r="AD11">
        <v>0</v>
      </c>
      <c r="AE11">
        <v>188.81</v>
      </c>
      <c r="AF11">
        <v>0</v>
      </c>
      <c r="AG11">
        <v>152.22</v>
      </c>
      <c r="AH11">
        <v>0</v>
      </c>
      <c r="AI11">
        <v>166.81</v>
      </c>
      <c r="AJ11">
        <v>0</v>
      </c>
      <c r="AK11">
        <v>154.27</v>
      </c>
      <c r="AL11">
        <v>0</v>
      </c>
      <c r="AM11">
        <v>158.33</v>
      </c>
      <c r="AN11">
        <v>0</v>
      </c>
      <c r="AO11">
        <v>190.33</v>
      </c>
      <c r="AP11">
        <v>0</v>
      </c>
      <c r="AQ11">
        <v>167.72</v>
      </c>
      <c r="AR11">
        <v>0</v>
      </c>
      <c r="AS11">
        <v>224.12</v>
      </c>
      <c r="AT11">
        <v>0</v>
      </c>
      <c r="AU11">
        <v>275.56</v>
      </c>
      <c r="AV11">
        <v>0</v>
      </c>
      <c r="AW11">
        <v>156.97</v>
      </c>
      <c r="AX11">
        <v>0</v>
      </c>
      <c r="AY11">
        <v>161.29</v>
      </c>
      <c r="AZ11">
        <v>0</v>
      </c>
      <c r="BA11">
        <v>181.54</v>
      </c>
      <c r="BB11">
        <v>0</v>
      </c>
      <c r="BC11">
        <v>208</v>
      </c>
      <c r="BD11">
        <v>0</v>
      </c>
      <c r="BE11">
        <v>204.46</v>
      </c>
      <c r="BF11">
        <v>0</v>
      </c>
    </row>
    <row r="12" spans="1:57" x14ac:dyDescent="0.25">
      <c r="A12" t="s">
        <v>128</v>
      </c>
      <c r="B12">
        <f>HYPERLINK("#"&amp;CELL("address",OFFSET(Analítico!$B$1,MATCH(105006,Analítico!$B:$B,0)-1,3)),105006)</f>
      </c>
      <c r="C12" t="s">
        <v>131</v>
      </c>
      <c r="D12" t="s">
        <v>93</v>
      </c>
      <c r="E12">
        <v>0</v>
      </c>
      <c r="G12">
        <v>0</v>
      </c>
      <c r="I12">
        <v>0</v>
      </c>
      <c r="K12">
        <v>0</v>
      </c>
      <c r="M12">
        <v>0</v>
      </c>
      <c r="O12">
        <v>0</v>
      </c>
      <c r="Q12">
        <v>0</v>
      </c>
      <c r="S12">
        <v>0</v>
      </c>
      <c r="U12">
        <v>0</v>
      </c>
      <c r="W12">
        <v>0</v>
      </c>
      <c r="Y12">
        <v>0</v>
      </c>
      <c r="AA12">
        <v>0</v>
      </c>
      <c r="AC12">
        <v>0</v>
      </c>
      <c r="AE12">
        <v>0</v>
      </c>
      <c r="AG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S12">
        <v>0</v>
      </c>
      <c r="AU12">
        <v>0</v>
      </c>
      <c r="AW12">
        <v>0</v>
      </c>
      <c r="AY12">
        <v>0</v>
      </c>
      <c r="BA12">
        <v>0</v>
      </c>
      <c r="BC12">
        <v>0</v>
      </c>
      <c r="BE12">
        <v>0</v>
      </c>
    </row>
    <row r="13" spans="1:58" x14ac:dyDescent="0.25">
      <c r="A13" t="s">
        <v>132</v>
      </c>
      <c r="B13">
        <f>HYPERLINK("#"&amp;CELL("address",OFFSET(Analítico!$B$1,MATCH(87286,Analítico!$B:$B,0)-1,3)),87286)</f>
      </c>
      <c r="C13" t="s">
        <v>133</v>
      </c>
      <c r="D13" t="s">
        <v>87</v>
      </c>
      <c r="E13">
        <v>961.85</v>
      </c>
      <c r="F13">
        <v>0</v>
      </c>
      <c r="G13">
        <v>650.28</v>
      </c>
      <c r="H13">
        <v>0</v>
      </c>
      <c r="I13">
        <v>721.7</v>
      </c>
      <c r="J13">
        <v>0</v>
      </c>
      <c r="K13">
        <v>729.08</v>
      </c>
      <c r="L13">
        <v>0</v>
      </c>
      <c r="M13">
        <v>883.43</v>
      </c>
      <c r="N13">
        <v>0</v>
      </c>
      <c r="O13">
        <v>704.58</v>
      </c>
      <c r="P13">
        <v>0</v>
      </c>
      <c r="Q13">
        <v>823.43</v>
      </c>
      <c r="R13">
        <v>0</v>
      </c>
      <c r="S13">
        <v>677.85</v>
      </c>
      <c r="T13">
        <v>0</v>
      </c>
      <c r="U13">
        <v>751.09</v>
      </c>
      <c r="V13">
        <v>0</v>
      </c>
      <c r="W13">
        <v>794.73</v>
      </c>
      <c r="X13">
        <v>0</v>
      </c>
      <c r="Y13">
        <v>713.59</v>
      </c>
      <c r="Z13">
        <v>0</v>
      </c>
      <c r="AA13">
        <v>636.86</v>
      </c>
      <c r="AB13">
        <v>0</v>
      </c>
      <c r="AC13">
        <v>699.5</v>
      </c>
      <c r="AD13">
        <v>0</v>
      </c>
      <c r="AE13">
        <v>739.48</v>
      </c>
      <c r="AF13">
        <v>0</v>
      </c>
      <c r="AG13">
        <v>656.55</v>
      </c>
      <c r="AH13">
        <v>0.0043</v>
      </c>
      <c r="AI13">
        <v>735.8</v>
      </c>
      <c r="AJ13">
        <v>0</v>
      </c>
      <c r="AK13">
        <v>722.59</v>
      </c>
      <c r="AL13">
        <v>0</v>
      </c>
      <c r="AM13">
        <v>648.56</v>
      </c>
      <c r="AN13">
        <v>0</v>
      </c>
      <c r="AO13">
        <v>643.94</v>
      </c>
      <c r="AP13">
        <v>0</v>
      </c>
      <c r="AQ13">
        <v>620.07</v>
      </c>
      <c r="AR13">
        <v>0</v>
      </c>
      <c r="AS13">
        <v>881.97</v>
      </c>
      <c r="AT13">
        <v>0</v>
      </c>
      <c r="AU13">
        <v>800.15</v>
      </c>
      <c r="AV13">
        <v>0</v>
      </c>
      <c r="AW13">
        <v>652.62</v>
      </c>
      <c r="AX13">
        <v>0</v>
      </c>
      <c r="AY13">
        <v>725.56</v>
      </c>
      <c r="AZ13">
        <v>0</v>
      </c>
      <c r="BA13">
        <v>687.13</v>
      </c>
      <c r="BB13">
        <v>0.0041</v>
      </c>
      <c r="BC13">
        <v>608.38</v>
      </c>
      <c r="BD13">
        <v>0</v>
      </c>
      <c r="BE13">
        <v>749.95</v>
      </c>
      <c r="BF13">
        <v>0</v>
      </c>
    </row>
    <row r="14" spans="1:58" x14ac:dyDescent="0.25">
      <c r="A14" t="s">
        <v>132</v>
      </c>
      <c r="B14">
        <f>HYPERLINK("#"&amp;CELL("address",OFFSET(Analítico!$B$1,MATCH(87307,Analítico!$B:$B,0)-1,3)),87307)</f>
      </c>
      <c r="C14" t="s">
        <v>134</v>
      </c>
      <c r="D14" t="s">
        <v>87</v>
      </c>
      <c r="E14">
        <v>799.79</v>
      </c>
      <c r="F14">
        <v>0</v>
      </c>
      <c r="G14">
        <v>609.62</v>
      </c>
      <c r="H14">
        <v>0</v>
      </c>
      <c r="I14">
        <v>682.68</v>
      </c>
      <c r="J14">
        <v>0</v>
      </c>
      <c r="K14">
        <v>702.37</v>
      </c>
      <c r="L14">
        <v>0</v>
      </c>
      <c r="M14">
        <v>793.17</v>
      </c>
      <c r="N14">
        <v>0</v>
      </c>
      <c r="O14">
        <v>647.55</v>
      </c>
      <c r="P14">
        <v>0</v>
      </c>
      <c r="Q14">
        <v>770.43</v>
      </c>
      <c r="R14">
        <v>0</v>
      </c>
      <c r="S14">
        <v>571.3</v>
      </c>
      <c r="T14">
        <v>0</v>
      </c>
      <c r="U14">
        <v>723.81</v>
      </c>
      <c r="V14">
        <v>0</v>
      </c>
      <c r="W14">
        <v>760.55</v>
      </c>
      <c r="X14">
        <v>0</v>
      </c>
      <c r="Y14">
        <v>661.73</v>
      </c>
      <c r="Z14">
        <v>0</v>
      </c>
      <c r="AA14">
        <v>570.49</v>
      </c>
      <c r="AB14">
        <v>0</v>
      </c>
      <c r="AC14">
        <v>667.86</v>
      </c>
      <c r="AD14">
        <v>0</v>
      </c>
      <c r="AE14">
        <v>694.05</v>
      </c>
      <c r="AF14">
        <v>0</v>
      </c>
      <c r="AG14">
        <v>616.26</v>
      </c>
      <c r="AH14">
        <v>0.0043</v>
      </c>
      <c r="AI14">
        <v>633.95</v>
      </c>
      <c r="AJ14">
        <v>0</v>
      </c>
      <c r="AK14">
        <v>674.09</v>
      </c>
      <c r="AL14">
        <v>0</v>
      </c>
      <c r="AM14">
        <v>636.93</v>
      </c>
      <c r="AN14">
        <v>0</v>
      </c>
      <c r="AO14">
        <v>559.72</v>
      </c>
      <c r="AP14">
        <v>0</v>
      </c>
      <c r="AQ14">
        <v>638.02</v>
      </c>
      <c r="AR14">
        <v>0</v>
      </c>
      <c r="AS14">
        <v>842.86</v>
      </c>
      <c r="AT14">
        <v>0</v>
      </c>
      <c r="AU14">
        <v>784.64</v>
      </c>
      <c r="AV14">
        <v>0</v>
      </c>
      <c r="AW14">
        <v>619.97</v>
      </c>
      <c r="AX14">
        <v>0</v>
      </c>
      <c r="AY14">
        <v>713.3</v>
      </c>
      <c r="AZ14">
        <v>0</v>
      </c>
      <c r="BA14">
        <v>623.9</v>
      </c>
      <c r="BB14">
        <v>0.0042</v>
      </c>
      <c r="BC14">
        <v>550.91</v>
      </c>
      <c r="BD14">
        <v>0</v>
      </c>
      <c r="BE14">
        <v>684.21</v>
      </c>
      <c r="BF14">
        <v>0</v>
      </c>
    </row>
    <row r="15" spans="1:58" x14ac:dyDescent="0.25">
      <c r="A15" t="s">
        <v>135</v>
      </c>
      <c r="B15">
        <f>HYPERLINK("#"&amp;CELL("address",OFFSET(Analítico!$B$1,MATCH(88831,Analítico!$B:$B,0)-1,3)),88831)</f>
      </c>
      <c r="C15" t="s">
        <v>136</v>
      </c>
      <c r="D15" t="s">
        <v>137</v>
      </c>
      <c r="E15">
        <v>0.44</v>
      </c>
      <c r="F15">
        <v>0</v>
      </c>
      <c r="G15">
        <v>0.37</v>
      </c>
      <c r="H15">
        <v>0</v>
      </c>
      <c r="I15">
        <v>0.4</v>
      </c>
      <c r="J15">
        <v>0</v>
      </c>
      <c r="K15">
        <v>0.46</v>
      </c>
      <c r="L15">
        <v>0</v>
      </c>
      <c r="M15">
        <v>0.43</v>
      </c>
      <c r="N15">
        <v>0</v>
      </c>
      <c r="O15">
        <v>0.45</v>
      </c>
      <c r="P15">
        <v>0</v>
      </c>
      <c r="Q15">
        <v>0.4</v>
      </c>
      <c r="R15">
        <v>0</v>
      </c>
      <c r="S15">
        <v>0.4</v>
      </c>
      <c r="T15">
        <v>0</v>
      </c>
      <c r="U15">
        <v>0.45</v>
      </c>
      <c r="V15">
        <v>0</v>
      </c>
      <c r="W15">
        <v>0.46</v>
      </c>
      <c r="X15">
        <v>0</v>
      </c>
      <c r="Y15">
        <v>0.5</v>
      </c>
      <c r="Z15">
        <v>0</v>
      </c>
      <c r="AA15">
        <v>0.38</v>
      </c>
      <c r="AB15">
        <v>0</v>
      </c>
      <c r="AC15">
        <v>0.45</v>
      </c>
      <c r="AD15">
        <v>0</v>
      </c>
      <c r="AE15">
        <v>0.46</v>
      </c>
      <c r="AF15">
        <v>0</v>
      </c>
      <c r="AG15">
        <v>0.43</v>
      </c>
      <c r="AH15">
        <v>1</v>
      </c>
      <c r="AI15">
        <v>0.42</v>
      </c>
      <c r="AJ15">
        <v>0</v>
      </c>
      <c r="AK15">
        <v>0.54</v>
      </c>
      <c r="AL15">
        <v>0</v>
      </c>
      <c r="AM15">
        <v>0.43</v>
      </c>
      <c r="AN15">
        <v>0</v>
      </c>
      <c r="AO15">
        <v>0.41</v>
      </c>
      <c r="AP15">
        <v>0</v>
      </c>
      <c r="AQ15">
        <v>0.4</v>
      </c>
      <c r="AR15">
        <v>0</v>
      </c>
      <c r="AS15">
        <v>0.48</v>
      </c>
      <c r="AT15">
        <v>0</v>
      </c>
      <c r="AU15">
        <v>0.42</v>
      </c>
      <c r="AV15">
        <v>0</v>
      </c>
      <c r="AW15">
        <v>0.37</v>
      </c>
      <c r="AX15">
        <v>0</v>
      </c>
      <c r="AY15">
        <v>0.4</v>
      </c>
      <c r="AZ15">
        <v>0</v>
      </c>
      <c r="BA15">
        <v>0.43</v>
      </c>
      <c r="BB15">
        <v>1</v>
      </c>
      <c r="BC15">
        <v>0.43</v>
      </c>
      <c r="BD15">
        <v>0</v>
      </c>
      <c r="BE15">
        <v>0.44</v>
      </c>
      <c r="BF15">
        <v>0</v>
      </c>
    </row>
    <row r="16" spans="1:58" x14ac:dyDescent="0.25">
      <c r="A16" t="s">
        <v>135</v>
      </c>
      <c r="B16">
        <f>HYPERLINK("#"&amp;CELL("address",OFFSET(Analítico!$B$1,MATCH(88830,Analítico!$B:$B,0)-1,3)),88830)</f>
      </c>
      <c r="C16" t="s">
        <v>138</v>
      </c>
      <c r="D16" t="s">
        <v>139</v>
      </c>
      <c r="E16">
        <v>2.46</v>
      </c>
      <c r="F16">
        <v>0</v>
      </c>
      <c r="G16">
        <v>2.08</v>
      </c>
      <c r="H16">
        <v>0</v>
      </c>
      <c r="I16">
        <v>1.98</v>
      </c>
      <c r="J16">
        <v>0</v>
      </c>
      <c r="K16">
        <v>2.2</v>
      </c>
      <c r="L16">
        <v>0</v>
      </c>
      <c r="M16">
        <v>2.24</v>
      </c>
      <c r="N16">
        <v>0</v>
      </c>
      <c r="O16">
        <v>2.08</v>
      </c>
      <c r="P16">
        <v>0</v>
      </c>
      <c r="Q16">
        <v>1.76</v>
      </c>
      <c r="R16">
        <v>0</v>
      </c>
      <c r="S16">
        <v>2.02</v>
      </c>
      <c r="T16">
        <v>0</v>
      </c>
      <c r="U16">
        <v>2.32</v>
      </c>
      <c r="V16">
        <v>0</v>
      </c>
      <c r="W16">
        <v>2.24</v>
      </c>
      <c r="X16">
        <v>0</v>
      </c>
      <c r="Y16">
        <v>2.4</v>
      </c>
      <c r="Z16">
        <v>0</v>
      </c>
      <c r="AA16">
        <v>2.32</v>
      </c>
      <c r="AB16">
        <v>0</v>
      </c>
      <c r="AC16">
        <v>2.31</v>
      </c>
      <c r="AD16">
        <v>0</v>
      </c>
      <c r="AE16">
        <v>2.39</v>
      </c>
      <c r="AF16">
        <v>0</v>
      </c>
      <c r="AG16">
        <v>1.89</v>
      </c>
      <c r="AH16">
        <v>0.4339</v>
      </c>
      <c r="AI16">
        <v>2.08</v>
      </c>
      <c r="AJ16">
        <v>0</v>
      </c>
      <c r="AK16">
        <v>2.39</v>
      </c>
      <c r="AL16">
        <v>0</v>
      </c>
      <c r="AM16">
        <v>1.87</v>
      </c>
      <c r="AN16">
        <v>0</v>
      </c>
      <c r="AO16">
        <v>2.39</v>
      </c>
      <c r="AP16">
        <v>0</v>
      </c>
      <c r="AQ16">
        <v>2.02</v>
      </c>
      <c r="AR16">
        <v>0</v>
      </c>
      <c r="AS16">
        <v>2.91</v>
      </c>
      <c r="AT16">
        <v>0</v>
      </c>
      <c r="AU16">
        <v>2.03</v>
      </c>
      <c r="AV16">
        <v>0</v>
      </c>
      <c r="AW16">
        <v>2.1</v>
      </c>
      <c r="AX16">
        <v>0</v>
      </c>
      <c r="AY16">
        <v>1.88</v>
      </c>
      <c r="AZ16">
        <v>0</v>
      </c>
      <c r="BA16">
        <v>2.07</v>
      </c>
      <c r="BB16">
        <v>0.3961</v>
      </c>
      <c r="BC16">
        <v>1.9</v>
      </c>
      <c r="BD16">
        <v>0</v>
      </c>
      <c r="BE16">
        <v>2.51</v>
      </c>
      <c r="BF16">
        <v>0</v>
      </c>
    </row>
    <row r="17" spans="1:58" x14ac:dyDescent="0.25">
      <c r="A17" t="s">
        <v>140</v>
      </c>
      <c r="B17">
        <f>HYPERLINK("#"&amp;CELL("address",OFFSET(Analítico!$B$1,MATCH(88826,Analítico!$B:$B,0)-1,3)),88826)</f>
      </c>
      <c r="C17" t="s">
        <v>141</v>
      </c>
      <c r="D17" t="s">
        <v>83</v>
      </c>
      <c r="E17">
        <v>0.36</v>
      </c>
      <c r="F17">
        <v>0</v>
      </c>
      <c r="G17">
        <v>0.3</v>
      </c>
      <c r="H17">
        <v>0</v>
      </c>
      <c r="I17">
        <v>0.33</v>
      </c>
      <c r="J17">
        <v>0</v>
      </c>
      <c r="K17">
        <v>0.38</v>
      </c>
      <c r="L17">
        <v>0</v>
      </c>
      <c r="M17">
        <v>0.35</v>
      </c>
      <c r="N17">
        <v>0</v>
      </c>
      <c r="O17">
        <v>0.37</v>
      </c>
      <c r="P17">
        <v>0</v>
      </c>
      <c r="Q17">
        <v>0.33</v>
      </c>
      <c r="R17">
        <v>0</v>
      </c>
      <c r="S17">
        <v>0.33</v>
      </c>
      <c r="T17">
        <v>0</v>
      </c>
      <c r="U17">
        <v>0.37</v>
      </c>
      <c r="V17">
        <v>0</v>
      </c>
      <c r="W17">
        <v>0.38</v>
      </c>
      <c r="X17">
        <v>0</v>
      </c>
      <c r="Y17">
        <v>0.41</v>
      </c>
      <c r="Z17">
        <v>0</v>
      </c>
      <c r="AA17">
        <v>0.31</v>
      </c>
      <c r="AB17">
        <v>0</v>
      </c>
      <c r="AC17">
        <v>0.37</v>
      </c>
      <c r="AD17">
        <v>0</v>
      </c>
      <c r="AE17">
        <v>0.38</v>
      </c>
      <c r="AF17">
        <v>0</v>
      </c>
      <c r="AG17">
        <v>0.35</v>
      </c>
      <c r="AH17">
        <v>1</v>
      </c>
      <c r="AI17">
        <v>0.34</v>
      </c>
      <c r="AJ17">
        <v>0</v>
      </c>
      <c r="AK17">
        <v>0.44</v>
      </c>
      <c r="AL17">
        <v>0</v>
      </c>
      <c r="AM17">
        <v>0.35</v>
      </c>
      <c r="AN17">
        <v>0</v>
      </c>
      <c r="AO17">
        <v>0.34</v>
      </c>
      <c r="AP17">
        <v>0</v>
      </c>
      <c r="AQ17">
        <v>0.33</v>
      </c>
      <c r="AR17">
        <v>0</v>
      </c>
      <c r="AS17">
        <v>0.39</v>
      </c>
      <c r="AT17">
        <v>0</v>
      </c>
      <c r="AU17">
        <v>0.34</v>
      </c>
      <c r="AV17">
        <v>0</v>
      </c>
      <c r="AW17">
        <v>0.3</v>
      </c>
      <c r="AX17">
        <v>0</v>
      </c>
      <c r="AY17">
        <v>0.33</v>
      </c>
      <c r="AZ17">
        <v>0</v>
      </c>
      <c r="BA17">
        <v>0.35</v>
      </c>
      <c r="BB17">
        <v>1</v>
      </c>
      <c r="BC17">
        <v>0.35</v>
      </c>
      <c r="BD17">
        <v>0</v>
      </c>
      <c r="BE17">
        <v>0.36</v>
      </c>
      <c r="BF17">
        <v>0</v>
      </c>
    </row>
    <row r="18" spans="1:58" x14ac:dyDescent="0.25">
      <c r="A18" t="s">
        <v>140</v>
      </c>
      <c r="B18">
        <f>HYPERLINK("#"&amp;CELL("address",OFFSET(Analítico!$B$1,MATCH(88827,Analítico!$B:$B,0)-1,3)),88827)</f>
      </c>
      <c r="C18" t="s">
        <v>142</v>
      </c>
      <c r="D18" t="s">
        <v>83</v>
      </c>
      <c r="E18">
        <v>0.08</v>
      </c>
      <c r="F18">
        <v>0</v>
      </c>
      <c r="G18">
        <v>0.07</v>
      </c>
      <c r="H18">
        <v>0</v>
      </c>
      <c r="I18">
        <v>0.07</v>
      </c>
      <c r="J18">
        <v>0</v>
      </c>
      <c r="K18">
        <v>0.08</v>
      </c>
      <c r="L18">
        <v>0</v>
      </c>
      <c r="M18">
        <v>0.08</v>
      </c>
      <c r="N18">
        <v>0</v>
      </c>
      <c r="O18">
        <v>0.08</v>
      </c>
      <c r="P18">
        <v>0</v>
      </c>
      <c r="Q18">
        <v>0.07</v>
      </c>
      <c r="R18">
        <v>0</v>
      </c>
      <c r="S18">
        <v>0.07</v>
      </c>
      <c r="T18">
        <v>0</v>
      </c>
      <c r="U18">
        <v>0.08</v>
      </c>
      <c r="V18">
        <v>0</v>
      </c>
      <c r="W18">
        <v>0.08</v>
      </c>
      <c r="X18">
        <v>0</v>
      </c>
      <c r="Y18">
        <v>0.09</v>
      </c>
      <c r="Z18">
        <v>0</v>
      </c>
      <c r="AA18">
        <v>0.07</v>
      </c>
      <c r="AB18">
        <v>0</v>
      </c>
      <c r="AC18">
        <v>0.08</v>
      </c>
      <c r="AD18">
        <v>0</v>
      </c>
      <c r="AE18">
        <v>0.08</v>
      </c>
      <c r="AF18">
        <v>0</v>
      </c>
      <c r="AG18">
        <v>0.08</v>
      </c>
      <c r="AH18">
        <v>1</v>
      </c>
      <c r="AI18">
        <v>0.08</v>
      </c>
      <c r="AJ18">
        <v>0</v>
      </c>
      <c r="AK18">
        <v>0.1</v>
      </c>
      <c r="AL18">
        <v>0</v>
      </c>
      <c r="AM18">
        <v>0.08</v>
      </c>
      <c r="AN18">
        <v>0</v>
      </c>
      <c r="AO18">
        <v>0.07</v>
      </c>
      <c r="AP18">
        <v>0</v>
      </c>
      <c r="AQ18">
        <v>0.07</v>
      </c>
      <c r="AR18">
        <v>0</v>
      </c>
      <c r="AS18">
        <v>0.09</v>
      </c>
      <c r="AT18">
        <v>0</v>
      </c>
      <c r="AU18">
        <v>0.08</v>
      </c>
      <c r="AV18">
        <v>0</v>
      </c>
      <c r="AW18">
        <v>0.07</v>
      </c>
      <c r="AX18">
        <v>0</v>
      </c>
      <c r="AY18">
        <v>0.07</v>
      </c>
      <c r="AZ18">
        <v>0</v>
      </c>
      <c r="BA18">
        <v>0.08</v>
      </c>
      <c r="BB18">
        <v>1</v>
      </c>
      <c r="BC18">
        <v>0.08</v>
      </c>
      <c r="BD18">
        <v>0</v>
      </c>
      <c r="BE18">
        <v>0.08</v>
      </c>
      <c r="BF18">
        <v>0</v>
      </c>
    </row>
    <row r="19" spans="1:58" x14ac:dyDescent="0.25">
      <c r="A19" t="s">
        <v>140</v>
      </c>
      <c r="B19">
        <f>HYPERLINK("#"&amp;CELL("address",OFFSET(Analítico!$B$1,MATCH(88828,Analítico!$B:$B,0)-1,3)),88828)</f>
      </c>
      <c r="C19" t="s">
        <v>143</v>
      </c>
      <c r="D19" t="s">
        <v>83</v>
      </c>
      <c r="E19">
        <v>0.4</v>
      </c>
      <c r="F19">
        <v>0</v>
      </c>
      <c r="G19">
        <v>0.33</v>
      </c>
      <c r="H19">
        <v>0</v>
      </c>
      <c r="I19">
        <v>0.36</v>
      </c>
      <c r="J19">
        <v>0</v>
      </c>
      <c r="K19">
        <v>0.41</v>
      </c>
      <c r="L19">
        <v>0</v>
      </c>
      <c r="M19">
        <v>0.39</v>
      </c>
      <c r="N19">
        <v>0</v>
      </c>
      <c r="O19">
        <v>0.4</v>
      </c>
      <c r="P19">
        <v>0</v>
      </c>
      <c r="Q19">
        <v>0.36</v>
      </c>
      <c r="R19">
        <v>0</v>
      </c>
      <c r="S19">
        <v>0.36</v>
      </c>
      <c r="T19">
        <v>0</v>
      </c>
      <c r="U19">
        <v>0.4</v>
      </c>
      <c r="V19">
        <v>0</v>
      </c>
      <c r="W19">
        <v>0.42</v>
      </c>
      <c r="X19">
        <v>0</v>
      </c>
      <c r="Y19">
        <v>0.45</v>
      </c>
      <c r="Z19">
        <v>0</v>
      </c>
      <c r="AA19">
        <v>0.34</v>
      </c>
      <c r="AB19">
        <v>0</v>
      </c>
      <c r="AC19">
        <v>0.4</v>
      </c>
      <c r="AD19">
        <v>0</v>
      </c>
      <c r="AE19">
        <v>0.41</v>
      </c>
      <c r="AF19">
        <v>0</v>
      </c>
      <c r="AG19">
        <v>0.39</v>
      </c>
      <c r="AH19">
        <v>1</v>
      </c>
      <c r="AI19">
        <v>0.38</v>
      </c>
      <c r="AJ19">
        <v>0</v>
      </c>
      <c r="AK19">
        <v>0.48</v>
      </c>
      <c r="AL19">
        <v>0</v>
      </c>
      <c r="AM19">
        <v>0.38</v>
      </c>
      <c r="AN19">
        <v>0</v>
      </c>
      <c r="AO19">
        <v>0.37</v>
      </c>
      <c r="AP19">
        <v>0</v>
      </c>
      <c r="AQ19">
        <v>0.36</v>
      </c>
      <c r="AR19">
        <v>0</v>
      </c>
      <c r="AS19">
        <v>0.43</v>
      </c>
      <c r="AT19">
        <v>0</v>
      </c>
      <c r="AU19">
        <v>0.38</v>
      </c>
      <c r="AV19">
        <v>0</v>
      </c>
      <c r="AW19">
        <v>0.33</v>
      </c>
      <c r="AX19">
        <v>0</v>
      </c>
      <c r="AY19">
        <v>0.37</v>
      </c>
      <c r="AZ19">
        <v>0</v>
      </c>
      <c r="BA19">
        <v>0.39</v>
      </c>
      <c r="BB19">
        <v>1</v>
      </c>
      <c r="BC19">
        <v>0.39</v>
      </c>
      <c r="BD19">
        <v>0</v>
      </c>
      <c r="BE19">
        <v>0.39</v>
      </c>
      <c r="BF19">
        <v>0</v>
      </c>
    </row>
    <row r="20" spans="1:58" x14ac:dyDescent="0.25">
      <c r="A20" t="s">
        <v>140</v>
      </c>
      <c r="B20">
        <f>HYPERLINK("#"&amp;CELL("address",OFFSET(Analítico!$B$1,MATCH(88829,Analítico!$B:$B,0)-1,3)),88829)</f>
      </c>
      <c r="C20" t="s">
        <v>144</v>
      </c>
      <c r="D20" t="s">
        <v>83</v>
      </c>
      <c r="E20">
        <v>1.62</v>
      </c>
      <c r="F20">
        <v>0</v>
      </c>
      <c r="G20">
        <v>1.38</v>
      </c>
      <c r="H20">
        <v>0</v>
      </c>
      <c r="I20">
        <v>1.22</v>
      </c>
      <c r="J20">
        <v>0</v>
      </c>
      <c r="K20">
        <v>1.33</v>
      </c>
      <c r="L20">
        <v>0</v>
      </c>
      <c r="M20">
        <v>1.42</v>
      </c>
      <c r="N20">
        <v>0</v>
      </c>
      <c r="O20">
        <v>1.23</v>
      </c>
      <c r="P20">
        <v>0</v>
      </c>
      <c r="Q20">
        <v>1</v>
      </c>
      <c r="R20">
        <v>0</v>
      </c>
      <c r="S20">
        <v>1.26</v>
      </c>
      <c r="T20">
        <v>0</v>
      </c>
      <c r="U20">
        <v>1.47</v>
      </c>
      <c r="V20">
        <v>0</v>
      </c>
      <c r="W20">
        <v>1.36</v>
      </c>
      <c r="X20">
        <v>0</v>
      </c>
      <c r="Y20">
        <v>1.45</v>
      </c>
      <c r="Z20">
        <v>0</v>
      </c>
      <c r="AA20">
        <v>1.6</v>
      </c>
      <c r="AB20">
        <v>0</v>
      </c>
      <c r="AC20">
        <v>1.46</v>
      </c>
      <c r="AD20">
        <v>0</v>
      </c>
      <c r="AE20">
        <v>1.52</v>
      </c>
      <c r="AF20">
        <v>0</v>
      </c>
      <c r="AG20">
        <v>1.07</v>
      </c>
      <c r="AH20">
        <v>0</v>
      </c>
      <c r="AI20">
        <v>1.28</v>
      </c>
      <c r="AJ20">
        <v>0</v>
      </c>
      <c r="AK20">
        <v>1.37</v>
      </c>
      <c r="AL20">
        <v>0</v>
      </c>
      <c r="AM20">
        <v>1.06</v>
      </c>
      <c r="AN20">
        <v>0</v>
      </c>
      <c r="AO20">
        <v>1.61</v>
      </c>
      <c r="AP20">
        <v>0</v>
      </c>
      <c r="AQ20">
        <v>1.26</v>
      </c>
      <c r="AR20">
        <v>0</v>
      </c>
      <c r="AS20">
        <v>2</v>
      </c>
      <c r="AT20">
        <v>0</v>
      </c>
      <c r="AU20">
        <v>1.23</v>
      </c>
      <c r="AV20">
        <v>0</v>
      </c>
      <c r="AW20">
        <v>1.4</v>
      </c>
      <c r="AX20">
        <v>0</v>
      </c>
      <c r="AY20">
        <v>1.11</v>
      </c>
      <c r="AZ20">
        <v>0</v>
      </c>
      <c r="BA20">
        <v>1.25</v>
      </c>
      <c r="BB20">
        <v>0</v>
      </c>
      <c r="BC20">
        <v>1.08</v>
      </c>
      <c r="BD20">
        <v>0</v>
      </c>
      <c r="BE20">
        <v>1.68</v>
      </c>
      <c r="BF20">
        <v>0</v>
      </c>
    </row>
    <row r="21" spans="1:58" x14ac:dyDescent="0.25">
      <c r="A21" t="s">
        <v>145</v>
      </c>
      <c r="B21">
        <f>HYPERLINK("#"&amp;CELL("address",OFFSET(Analítico!$B$1,MATCH(95389,Analítico!$B:$B,0)-1,3)),95389)</f>
      </c>
      <c r="C21" t="s">
        <v>146</v>
      </c>
      <c r="D21" t="s">
        <v>83</v>
      </c>
      <c r="E21">
        <v>0.14</v>
      </c>
      <c r="F21">
        <v>0</v>
      </c>
      <c r="G21">
        <v>0.12</v>
      </c>
      <c r="H21">
        <v>0</v>
      </c>
      <c r="I21">
        <v>0.21</v>
      </c>
      <c r="J21">
        <v>0</v>
      </c>
      <c r="K21">
        <v>0.12</v>
      </c>
      <c r="L21">
        <v>0</v>
      </c>
      <c r="M21">
        <v>0.3</v>
      </c>
      <c r="N21">
        <v>0</v>
      </c>
      <c r="O21">
        <v>0.18</v>
      </c>
      <c r="P21">
        <v>0</v>
      </c>
      <c r="Q21">
        <v>0.16</v>
      </c>
      <c r="R21">
        <v>0</v>
      </c>
      <c r="S21">
        <v>0.2</v>
      </c>
      <c r="T21">
        <v>0</v>
      </c>
      <c r="U21">
        <v>0.12</v>
      </c>
      <c r="V21">
        <v>0</v>
      </c>
      <c r="W21">
        <v>0.22</v>
      </c>
      <c r="X21">
        <v>0</v>
      </c>
      <c r="Y21">
        <v>0.19</v>
      </c>
      <c r="Z21">
        <v>0</v>
      </c>
      <c r="AA21">
        <v>0.19</v>
      </c>
      <c r="AB21">
        <v>0</v>
      </c>
      <c r="AC21">
        <v>0.14</v>
      </c>
      <c r="AD21">
        <v>0</v>
      </c>
      <c r="AE21">
        <v>0.17</v>
      </c>
      <c r="AF21">
        <v>0</v>
      </c>
      <c r="AG21">
        <v>0.13</v>
      </c>
      <c r="AH21">
        <v>0</v>
      </c>
      <c r="AI21">
        <v>0.14</v>
      </c>
      <c r="AJ21">
        <v>0</v>
      </c>
      <c r="AK21">
        <v>0.19</v>
      </c>
      <c r="AL21">
        <v>0</v>
      </c>
      <c r="AM21">
        <v>0.23</v>
      </c>
      <c r="AN21">
        <v>0</v>
      </c>
      <c r="AO21">
        <v>0.2</v>
      </c>
      <c r="AP21">
        <v>0</v>
      </c>
      <c r="AQ21">
        <v>0.17</v>
      </c>
      <c r="AR21">
        <v>0</v>
      </c>
      <c r="AS21">
        <v>0.17</v>
      </c>
      <c r="AT21">
        <v>0</v>
      </c>
      <c r="AU21">
        <v>0.13</v>
      </c>
      <c r="AV21">
        <v>0</v>
      </c>
      <c r="AW21">
        <v>0.21</v>
      </c>
      <c r="AX21">
        <v>0</v>
      </c>
      <c r="AY21">
        <v>0.27</v>
      </c>
      <c r="AZ21">
        <v>0</v>
      </c>
      <c r="BA21">
        <v>0.17</v>
      </c>
      <c r="BB21">
        <v>0</v>
      </c>
      <c r="BC21">
        <v>0.22</v>
      </c>
      <c r="BD21">
        <v>0</v>
      </c>
      <c r="BE21">
        <v>0.13</v>
      </c>
      <c r="BF21">
        <v>0</v>
      </c>
    </row>
    <row r="22" spans="1:58" x14ac:dyDescent="0.25">
      <c r="A22" t="s">
        <v>145</v>
      </c>
      <c r="B22">
        <f>HYPERLINK("#"&amp;CELL("address",OFFSET(Analítico!$B$1,MATCH(95371,Analítico!$B:$B,0)-1,3)),95371)</f>
      </c>
      <c r="C22" t="s">
        <v>147</v>
      </c>
      <c r="D22" t="s">
        <v>83</v>
      </c>
      <c r="E22">
        <v>0.53</v>
      </c>
      <c r="F22">
        <v>0</v>
      </c>
      <c r="G22">
        <v>0.42</v>
      </c>
      <c r="H22">
        <v>0</v>
      </c>
      <c r="I22">
        <v>0.48</v>
      </c>
      <c r="J22">
        <v>0</v>
      </c>
      <c r="K22">
        <v>0.47</v>
      </c>
      <c r="L22">
        <v>0</v>
      </c>
      <c r="M22">
        <v>0.54</v>
      </c>
      <c r="N22">
        <v>0</v>
      </c>
      <c r="O22">
        <v>0.49</v>
      </c>
      <c r="P22">
        <v>0</v>
      </c>
      <c r="Q22">
        <v>0.51</v>
      </c>
      <c r="R22">
        <v>0</v>
      </c>
      <c r="S22">
        <v>0.5</v>
      </c>
      <c r="T22">
        <v>0</v>
      </c>
      <c r="U22">
        <v>0.53</v>
      </c>
      <c r="V22">
        <v>0</v>
      </c>
      <c r="W22">
        <v>0.47</v>
      </c>
      <c r="X22">
        <v>0</v>
      </c>
      <c r="Y22">
        <v>0.54</v>
      </c>
      <c r="Z22">
        <v>0</v>
      </c>
      <c r="AA22">
        <v>0.47</v>
      </c>
      <c r="AB22">
        <v>0</v>
      </c>
      <c r="AC22">
        <v>0.47</v>
      </c>
      <c r="AD22">
        <v>0</v>
      </c>
      <c r="AE22">
        <v>0.46</v>
      </c>
      <c r="AF22">
        <v>0</v>
      </c>
      <c r="AG22">
        <v>0.48</v>
      </c>
      <c r="AH22">
        <v>0</v>
      </c>
      <c r="AI22">
        <v>0.49</v>
      </c>
      <c r="AJ22">
        <v>0</v>
      </c>
      <c r="AK22">
        <v>0.46</v>
      </c>
      <c r="AL22">
        <v>0</v>
      </c>
      <c r="AM22">
        <v>0.65</v>
      </c>
      <c r="AN22">
        <v>0</v>
      </c>
      <c r="AO22">
        <v>0.62</v>
      </c>
      <c r="AP22">
        <v>0</v>
      </c>
      <c r="AQ22">
        <v>0.42</v>
      </c>
      <c r="AR22">
        <v>0</v>
      </c>
      <c r="AS22">
        <v>0.5</v>
      </c>
      <c r="AT22">
        <v>0</v>
      </c>
      <c r="AU22">
        <v>0.54</v>
      </c>
      <c r="AV22">
        <v>0</v>
      </c>
      <c r="AW22">
        <v>0.5</v>
      </c>
      <c r="AX22">
        <v>0</v>
      </c>
      <c r="AY22">
        <v>0.68</v>
      </c>
      <c r="AZ22">
        <v>0</v>
      </c>
      <c r="BA22">
        <v>0.45</v>
      </c>
      <c r="BB22">
        <v>0</v>
      </c>
      <c r="BC22">
        <v>0.58</v>
      </c>
      <c r="BD22">
        <v>0</v>
      </c>
      <c r="BE22">
        <v>0.45</v>
      </c>
      <c r="BF22">
        <v>0</v>
      </c>
    </row>
    <row r="23" spans="1:58" x14ac:dyDescent="0.25">
      <c r="A23" t="s">
        <v>145</v>
      </c>
      <c r="B23">
        <f>HYPERLINK("#"&amp;CELL("address",OFFSET(Analítico!$B$1,MATCH(95378,Analítico!$B:$B,0)-1,3)),95378)</f>
      </c>
      <c r="C23" t="s">
        <v>148</v>
      </c>
      <c r="D23" t="s">
        <v>83</v>
      </c>
      <c r="E23">
        <v>0.36</v>
      </c>
      <c r="F23">
        <v>0</v>
      </c>
      <c r="G23">
        <v>0.33</v>
      </c>
      <c r="H23">
        <v>0</v>
      </c>
      <c r="I23">
        <v>0.36</v>
      </c>
      <c r="J23">
        <v>0</v>
      </c>
      <c r="K23">
        <v>0.34</v>
      </c>
      <c r="L23">
        <v>0</v>
      </c>
      <c r="M23">
        <v>0.34</v>
      </c>
      <c r="N23">
        <v>0</v>
      </c>
      <c r="O23">
        <v>0.34</v>
      </c>
      <c r="P23">
        <v>0</v>
      </c>
      <c r="Q23">
        <v>0.35</v>
      </c>
      <c r="R23">
        <v>0</v>
      </c>
      <c r="S23">
        <v>0.37</v>
      </c>
      <c r="T23">
        <v>0</v>
      </c>
      <c r="U23">
        <v>0.33</v>
      </c>
      <c r="V23">
        <v>0</v>
      </c>
      <c r="W23">
        <v>0.34</v>
      </c>
      <c r="X23">
        <v>0</v>
      </c>
      <c r="Y23">
        <v>0.36</v>
      </c>
      <c r="Z23">
        <v>0</v>
      </c>
      <c r="AA23">
        <v>0.35</v>
      </c>
      <c r="AB23">
        <v>0</v>
      </c>
      <c r="AC23">
        <v>0.35</v>
      </c>
      <c r="AD23">
        <v>0</v>
      </c>
      <c r="AE23">
        <v>0.34</v>
      </c>
      <c r="AF23">
        <v>0</v>
      </c>
      <c r="AG23">
        <v>0.36</v>
      </c>
      <c r="AH23">
        <v>0</v>
      </c>
      <c r="AI23">
        <v>0.37</v>
      </c>
      <c r="AJ23">
        <v>0</v>
      </c>
      <c r="AK23">
        <v>0.33</v>
      </c>
      <c r="AL23">
        <v>0</v>
      </c>
      <c r="AM23">
        <v>0.46</v>
      </c>
      <c r="AN23">
        <v>0</v>
      </c>
      <c r="AO23">
        <v>0.48</v>
      </c>
      <c r="AP23">
        <v>0</v>
      </c>
      <c r="AQ23">
        <v>0.34</v>
      </c>
      <c r="AR23">
        <v>0</v>
      </c>
      <c r="AS23">
        <v>0.41</v>
      </c>
      <c r="AT23">
        <v>0</v>
      </c>
      <c r="AU23">
        <v>0.33</v>
      </c>
      <c r="AV23">
        <v>0</v>
      </c>
      <c r="AW23">
        <v>0.39</v>
      </c>
      <c r="AX23">
        <v>0</v>
      </c>
      <c r="AY23">
        <v>0.47</v>
      </c>
      <c r="AZ23">
        <v>0</v>
      </c>
      <c r="BA23">
        <v>0.33</v>
      </c>
      <c r="BB23">
        <v>0</v>
      </c>
      <c r="BC23">
        <v>0.47</v>
      </c>
      <c r="BD23">
        <v>0</v>
      </c>
      <c r="BE23">
        <v>0.33</v>
      </c>
      <c r="BF23">
        <v>0</v>
      </c>
    </row>
    <row r="24" spans="1:58" x14ac:dyDescent="0.25">
      <c r="A24" t="s">
        <v>145</v>
      </c>
      <c r="B24">
        <f>HYPERLINK("#"&amp;CELL("address",OFFSET(Analítico!$B$1,MATCH(88377,Analítico!$B:$B,0)-1,3)),88377)</f>
      </c>
      <c r="C24" t="s">
        <v>149</v>
      </c>
      <c r="D24" t="s">
        <v>83</v>
      </c>
      <c r="E24">
        <v>23.91</v>
      </c>
      <c r="F24">
        <v>0</v>
      </c>
      <c r="G24">
        <v>21.28</v>
      </c>
      <c r="H24">
        <v>0</v>
      </c>
      <c r="I24">
        <v>35.45</v>
      </c>
      <c r="J24">
        <v>0</v>
      </c>
      <c r="K24">
        <v>18.88</v>
      </c>
      <c r="L24">
        <v>0</v>
      </c>
      <c r="M24">
        <v>45.24</v>
      </c>
      <c r="N24">
        <v>0</v>
      </c>
      <c r="O24">
        <v>30.73</v>
      </c>
      <c r="P24">
        <v>0</v>
      </c>
      <c r="Q24">
        <v>28.16</v>
      </c>
      <c r="R24">
        <v>0</v>
      </c>
      <c r="S24">
        <v>35.46</v>
      </c>
      <c r="T24">
        <v>0</v>
      </c>
      <c r="U24">
        <v>21.64</v>
      </c>
      <c r="V24">
        <v>0</v>
      </c>
      <c r="W24">
        <v>32.3</v>
      </c>
      <c r="X24">
        <v>0</v>
      </c>
      <c r="Y24">
        <v>30.06</v>
      </c>
      <c r="Z24">
        <v>0</v>
      </c>
      <c r="AA24">
        <v>28.54</v>
      </c>
      <c r="AB24">
        <v>0</v>
      </c>
      <c r="AC24">
        <v>23.81</v>
      </c>
      <c r="AD24">
        <v>0</v>
      </c>
      <c r="AE24">
        <v>29.89</v>
      </c>
      <c r="AF24">
        <v>0</v>
      </c>
      <c r="AG24">
        <v>22</v>
      </c>
      <c r="AH24">
        <v>0</v>
      </c>
      <c r="AI24">
        <v>23.48</v>
      </c>
      <c r="AJ24">
        <v>0</v>
      </c>
      <c r="AK24">
        <v>28.89</v>
      </c>
      <c r="AL24">
        <v>0</v>
      </c>
      <c r="AM24">
        <v>37.89</v>
      </c>
      <c r="AN24">
        <v>0</v>
      </c>
      <c r="AO24">
        <v>34.11</v>
      </c>
      <c r="AP24">
        <v>0</v>
      </c>
      <c r="AQ24">
        <v>29.2</v>
      </c>
      <c r="AR24">
        <v>0</v>
      </c>
      <c r="AS24">
        <v>27.12</v>
      </c>
      <c r="AT24">
        <v>0</v>
      </c>
      <c r="AU24">
        <v>23.7</v>
      </c>
      <c r="AV24">
        <v>0</v>
      </c>
      <c r="AW24">
        <v>31.85</v>
      </c>
      <c r="AX24">
        <v>0</v>
      </c>
      <c r="AY24">
        <v>37.49</v>
      </c>
      <c r="AZ24">
        <v>0</v>
      </c>
      <c r="BA24">
        <v>26.82</v>
      </c>
      <c r="BB24">
        <v>0</v>
      </c>
      <c r="BC24">
        <v>34.95</v>
      </c>
      <c r="BD24">
        <v>0</v>
      </c>
      <c r="BE24">
        <v>22.15</v>
      </c>
      <c r="BF24">
        <v>0</v>
      </c>
    </row>
    <row r="25" spans="1:58" x14ac:dyDescent="0.25">
      <c r="A25" t="s">
        <v>145</v>
      </c>
      <c r="B25">
        <f>HYPERLINK("#"&amp;CELL("address",OFFSET(Analítico!$B$1,MATCH(88309,Analítico!$B:$B,0)-1,3)),88309)</f>
      </c>
      <c r="C25" t="s">
        <v>150</v>
      </c>
      <c r="D25" t="s">
        <v>83</v>
      </c>
      <c r="E25">
        <v>33.11</v>
      </c>
      <c r="F25">
        <v>0</v>
      </c>
      <c r="G25">
        <v>27.41</v>
      </c>
      <c r="H25">
        <v>0</v>
      </c>
      <c r="I25">
        <v>34.24</v>
      </c>
      <c r="J25">
        <v>0</v>
      </c>
      <c r="K25">
        <v>27.58</v>
      </c>
      <c r="L25">
        <v>0</v>
      </c>
      <c r="M25">
        <v>35.77</v>
      </c>
      <c r="N25">
        <v>0</v>
      </c>
      <c r="O25">
        <v>32.77</v>
      </c>
      <c r="P25">
        <v>0</v>
      </c>
      <c r="Q25">
        <v>33.91</v>
      </c>
      <c r="R25">
        <v>0</v>
      </c>
      <c r="S25">
        <v>36.29</v>
      </c>
      <c r="T25">
        <v>0</v>
      </c>
      <c r="U25">
        <v>33.58</v>
      </c>
      <c r="V25">
        <v>0</v>
      </c>
      <c r="W25">
        <v>29.05</v>
      </c>
      <c r="X25">
        <v>0</v>
      </c>
      <c r="Y25">
        <v>33.62</v>
      </c>
      <c r="Z25">
        <v>0</v>
      </c>
      <c r="AA25">
        <v>29.71</v>
      </c>
      <c r="AB25">
        <v>0</v>
      </c>
      <c r="AC25">
        <v>30.54</v>
      </c>
      <c r="AD25">
        <v>0</v>
      </c>
      <c r="AE25">
        <v>32.75</v>
      </c>
      <c r="AF25">
        <v>0</v>
      </c>
      <c r="AG25">
        <v>30.02</v>
      </c>
      <c r="AH25">
        <v>0</v>
      </c>
      <c r="AI25">
        <v>30.95</v>
      </c>
      <c r="AJ25">
        <v>0</v>
      </c>
      <c r="AK25">
        <v>29.47</v>
      </c>
      <c r="AL25">
        <v>0</v>
      </c>
      <c r="AM25">
        <v>42.12</v>
      </c>
      <c r="AN25">
        <v>0</v>
      </c>
      <c r="AO25">
        <v>40.45</v>
      </c>
      <c r="AP25">
        <v>0</v>
      </c>
      <c r="AQ25">
        <v>29.7</v>
      </c>
      <c r="AR25">
        <v>0</v>
      </c>
      <c r="AS25">
        <v>32.17</v>
      </c>
      <c r="AT25">
        <v>0</v>
      </c>
      <c r="AU25">
        <v>34.29</v>
      </c>
      <c r="AV25">
        <v>0</v>
      </c>
      <c r="AW25">
        <v>31.11</v>
      </c>
      <c r="AX25">
        <v>0</v>
      </c>
      <c r="AY25">
        <v>38.1</v>
      </c>
      <c r="AZ25">
        <v>0</v>
      </c>
      <c r="BA25">
        <v>28.91</v>
      </c>
      <c r="BB25">
        <v>0</v>
      </c>
      <c r="BC25">
        <v>37.26</v>
      </c>
      <c r="BD25">
        <v>0</v>
      </c>
      <c r="BE25">
        <v>28.97</v>
      </c>
      <c r="BF25">
        <v>0</v>
      </c>
    </row>
    <row r="26" spans="1:58" x14ac:dyDescent="0.25">
      <c r="A26" t="s">
        <v>145</v>
      </c>
      <c r="B26">
        <f>HYPERLINK("#"&amp;CELL("address",OFFSET(Analítico!$B$1,MATCH(88316,Analítico!$B:$B,0)-1,3)),88316)</f>
      </c>
      <c r="C26" t="s">
        <v>151</v>
      </c>
      <c r="D26" t="s">
        <v>83</v>
      </c>
      <c r="E26">
        <v>24.98</v>
      </c>
      <c r="F26">
        <v>0</v>
      </c>
      <c r="G26">
        <v>22.92</v>
      </c>
      <c r="H26">
        <v>0</v>
      </c>
      <c r="I26">
        <v>28.17</v>
      </c>
      <c r="J26">
        <v>0</v>
      </c>
      <c r="K26">
        <v>21.32</v>
      </c>
      <c r="L26">
        <v>0</v>
      </c>
      <c r="M26">
        <v>26.14</v>
      </c>
      <c r="N26">
        <v>0</v>
      </c>
      <c r="O26">
        <v>25.41</v>
      </c>
      <c r="P26">
        <v>0</v>
      </c>
      <c r="Q26">
        <v>26.07</v>
      </c>
      <c r="R26">
        <v>0</v>
      </c>
      <c r="S26">
        <v>30.17</v>
      </c>
      <c r="T26">
        <v>0</v>
      </c>
      <c r="U26">
        <v>23.53</v>
      </c>
      <c r="V26">
        <v>0</v>
      </c>
      <c r="W26">
        <v>22.6</v>
      </c>
      <c r="X26">
        <v>0</v>
      </c>
      <c r="Y26">
        <v>24.88</v>
      </c>
      <c r="Z26">
        <v>0</v>
      </c>
      <c r="AA26">
        <v>23.65</v>
      </c>
      <c r="AB26">
        <v>0</v>
      </c>
      <c r="AC26">
        <v>24.68</v>
      </c>
      <c r="AD26">
        <v>0</v>
      </c>
      <c r="AE26">
        <v>26.88</v>
      </c>
      <c r="AF26">
        <v>0</v>
      </c>
      <c r="AG26">
        <v>24.05</v>
      </c>
      <c r="AH26">
        <v>0</v>
      </c>
      <c r="AI26">
        <v>24.98</v>
      </c>
      <c r="AJ26">
        <v>0</v>
      </c>
      <c r="AK26">
        <v>23.66</v>
      </c>
      <c r="AL26">
        <v>0</v>
      </c>
      <c r="AM26">
        <v>32.78</v>
      </c>
      <c r="AN26">
        <v>0</v>
      </c>
      <c r="AO26">
        <v>33.44</v>
      </c>
      <c r="AP26">
        <v>0</v>
      </c>
      <c r="AQ26">
        <v>25.8</v>
      </c>
      <c r="AR26">
        <v>0</v>
      </c>
      <c r="AS26">
        <v>27.6</v>
      </c>
      <c r="AT26">
        <v>0</v>
      </c>
      <c r="AU26">
        <v>24.56</v>
      </c>
      <c r="AV26">
        <v>0</v>
      </c>
      <c r="AW26">
        <v>25.81</v>
      </c>
      <c r="AX26">
        <v>0</v>
      </c>
      <c r="AY26">
        <v>28.04</v>
      </c>
      <c r="AZ26">
        <v>0</v>
      </c>
      <c r="BA26">
        <v>22.83</v>
      </c>
      <c r="BB26">
        <v>0</v>
      </c>
      <c r="BC26">
        <v>32.18</v>
      </c>
      <c r="BD26">
        <v>0</v>
      </c>
      <c r="BE26">
        <v>23.34</v>
      </c>
      <c r="BF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152</v>
      </c>
    </row>
    <row r="3" spans="1:4" x14ac:dyDescent="0.25">
      <c r="A3" t="s">
        <v>7</v>
      </c>
      <c r="B3" t="s">
        <v>8</v>
      </c>
      <c r="D3" t="s">
        <v>9</v>
      </c>
    </row>
    <row r="4" spans="1:57" x14ac:dyDescent="0.25">
      <c r="A4" t="s">
        <v>10</v>
      </c>
      <c r="B4" t="s">
        <v>11</v>
      </c>
      <c r="D4" t="s">
        <v>115</v>
      </c>
      <c r="E4" t="s">
        <v>13</v>
      </c>
      <c r="G4" t="s">
        <v>14</v>
      </c>
      <c r="I4" t="s">
        <v>15</v>
      </c>
      <c r="K4" t="s">
        <v>16</v>
      </c>
      <c r="M4" t="s">
        <v>17</v>
      </c>
      <c r="O4" t="s">
        <v>18</v>
      </c>
      <c r="Q4" t="s">
        <v>19</v>
      </c>
      <c r="S4" t="s">
        <v>20</v>
      </c>
      <c r="U4" t="s">
        <v>21</v>
      </c>
      <c r="W4" t="s">
        <v>22</v>
      </c>
      <c r="Y4" t="s">
        <v>23</v>
      </c>
      <c r="AA4" t="s">
        <v>24</v>
      </c>
      <c r="AC4" t="s">
        <v>25</v>
      </c>
      <c r="AE4" t="s">
        <v>26</v>
      </c>
      <c r="AG4" t="s">
        <v>27</v>
      </c>
      <c r="AI4" t="s">
        <v>28</v>
      </c>
      <c r="AK4" t="s">
        <v>29</v>
      </c>
      <c r="AM4" t="s">
        <v>30</v>
      </c>
      <c r="AO4" t="s">
        <v>31</v>
      </c>
      <c r="AQ4" t="s">
        <v>32</v>
      </c>
      <c r="AS4" t="s">
        <v>33</v>
      </c>
      <c r="AU4" t="s">
        <v>34</v>
      </c>
      <c r="AW4" t="s">
        <v>35</v>
      </c>
      <c r="AY4" t="s">
        <v>36</v>
      </c>
      <c r="BA4" t="s">
        <v>37</v>
      </c>
      <c r="BC4" t="s">
        <v>38</v>
      </c>
      <c r="BE4" t="s">
        <v>39</v>
      </c>
    </row>
    <row r="5" spans="4:57" x14ac:dyDescent="0.25">
      <c r="D5" t="s">
        <v>40</v>
      </c>
      <c r="E5" t="s">
        <v>41</v>
      </c>
      <c r="G5" t="s">
        <v>42</v>
      </c>
      <c r="I5" t="s">
        <v>43</v>
      </c>
      <c r="K5" t="s">
        <v>44</v>
      </c>
      <c r="M5" t="s">
        <v>45</v>
      </c>
      <c r="O5" t="s">
        <v>46</v>
      </c>
      <c r="Q5" t="s">
        <v>47</v>
      </c>
      <c r="S5" t="s">
        <v>48</v>
      </c>
      <c r="U5" t="s">
        <v>49</v>
      </c>
      <c r="W5" t="s">
        <v>50</v>
      </c>
      <c r="Y5" t="s">
        <v>51</v>
      </c>
      <c r="AA5" t="s">
        <v>52</v>
      </c>
      <c r="AC5" t="s">
        <v>53</v>
      </c>
      <c r="AE5" t="s">
        <v>54</v>
      </c>
      <c r="AG5" t="s">
        <v>55</v>
      </c>
      <c r="AI5" t="s">
        <v>56</v>
      </c>
      <c r="AK5" t="s">
        <v>57</v>
      </c>
      <c r="AM5" t="s">
        <v>58</v>
      </c>
      <c r="AO5" t="s">
        <v>59</v>
      </c>
      <c r="AQ5" t="s">
        <v>60</v>
      </c>
      <c r="AS5" t="s">
        <v>61</v>
      </c>
      <c r="AU5" t="s">
        <v>62</v>
      </c>
      <c r="AW5" t="s">
        <v>63</v>
      </c>
      <c r="AY5" t="s">
        <v>64</v>
      </c>
      <c r="BA5" t="s">
        <v>65</v>
      </c>
      <c r="BC5" t="s">
        <v>66</v>
      </c>
      <c r="BE5" t="s">
        <v>67</v>
      </c>
    </row>
    <row r="6" spans="1:57" x14ac:dyDescent="0.25">
      <c r="A6" t="s">
        <v>118</v>
      </c>
      <c r="B6" t="s">
        <v>119</v>
      </c>
      <c r="D6" t="s">
        <v>71</v>
      </c>
      <c r="E6">
        <v>0.9688</v>
      </c>
      <c r="G6">
        <v>1.0013</v>
      </c>
      <c r="I6">
        <v>0.9835</v>
      </c>
      <c r="K6">
        <v>0.9923</v>
      </c>
      <c r="M6">
        <v>1.017</v>
      </c>
      <c r="O6">
        <v>0.9971</v>
      </c>
      <c r="Q6">
        <v>0.9463</v>
      </c>
      <c r="S6">
        <v>1.0222</v>
      </c>
      <c r="U6">
        <v>0.9322</v>
      </c>
      <c r="W6">
        <v>0.9831</v>
      </c>
      <c r="Y6">
        <v>1.0033</v>
      </c>
      <c r="AA6">
        <v>0.9956</v>
      </c>
      <c r="AC6">
        <v>0.9089</v>
      </c>
      <c r="AE6">
        <v>1.0326</v>
      </c>
      <c r="AG6">
        <v>1.0206</v>
      </c>
      <c r="AI6">
        <v>0.9883</v>
      </c>
      <c r="AK6">
        <v>0.9796</v>
      </c>
      <c r="AM6">
        <v>1.0025</v>
      </c>
      <c r="AO6">
        <v>0.9688</v>
      </c>
      <c r="AQ6">
        <v>1.0077</v>
      </c>
      <c r="AS6">
        <v>0.9961</v>
      </c>
      <c r="AU6">
        <v>0.9885</v>
      </c>
      <c r="AW6">
        <v>0.9612</v>
      </c>
      <c r="AY6">
        <v>0.9838</v>
      </c>
      <c r="BA6">
        <v>0.9588</v>
      </c>
      <c r="BC6">
        <v>0.9909</v>
      </c>
      <c r="BE6">
        <v>0.9923</v>
      </c>
    </row>
    <row r="7" spans="2:57" x14ac:dyDescent="0.25">
      <c r="B7" t="s">
        <v>120</v>
      </c>
      <c r="D7" t="s">
        <v>73</v>
      </c>
      <c r="E7">
        <v>0.5653</v>
      </c>
      <c r="G7">
        <v>0.5859</v>
      </c>
      <c r="I7">
        <v>0.582</v>
      </c>
      <c r="K7">
        <v>0.5746</v>
      </c>
      <c r="M7">
        <v>0.6013</v>
      </c>
      <c r="O7">
        <v>0.5974</v>
      </c>
      <c r="Q7">
        <v>0.5745</v>
      </c>
      <c r="S7">
        <v>0.6106</v>
      </c>
      <c r="U7">
        <v>0.5747</v>
      </c>
      <c r="W7">
        <v>0.5866</v>
      </c>
      <c r="Y7">
        <v>0.6106</v>
      </c>
      <c r="AA7">
        <v>0.5874</v>
      </c>
      <c r="AC7">
        <v>0.5603</v>
      </c>
      <c r="AE7">
        <v>0.5998</v>
      </c>
      <c r="AG7">
        <v>0.5991</v>
      </c>
      <c r="AI7">
        <v>0.581</v>
      </c>
      <c r="AK7">
        <v>0.5891</v>
      </c>
      <c r="AM7">
        <v>0.5965</v>
      </c>
      <c r="AO7">
        <v>0.572</v>
      </c>
      <c r="AQ7">
        <v>0.5955</v>
      </c>
      <c r="AS7">
        <v>0.5792</v>
      </c>
      <c r="AU7">
        <v>0.5772</v>
      </c>
      <c r="AW7">
        <v>0.5667</v>
      </c>
      <c r="AY7">
        <v>0.5822</v>
      </c>
      <c r="BA7">
        <v>0.5718</v>
      </c>
      <c r="BC7">
        <v>0.5851</v>
      </c>
      <c r="BE7">
        <v>0.592</v>
      </c>
    </row>
    <row r="8" spans="2:2" x14ac:dyDescent="0.25">
      <c r="B8" t="s">
        <v>121</v>
      </c>
    </row>
    <row r="9" spans="2:57" x14ac:dyDescent="0.25">
      <c r="B9" t="s">
        <v>122</v>
      </c>
      <c r="E9" t="s">
        <v>13</v>
      </c>
      <c r="G9" t="s">
        <v>14</v>
      </c>
      <c r="I9" t="s">
        <v>15</v>
      </c>
      <c r="K9" t="s">
        <v>16</v>
      </c>
      <c r="M9" t="s">
        <v>17</v>
      </c>
      <c r="O9" t="s">
        <v>18</v>
      </c>
      <c r="Q9" t="s">
        <v>19</v>
      </c>
      <c r="S9" t="s">
        <v>20</v>
      </c>
      <c r="U9" t="s">
        <v>21</v>
      </c>
      <c r="W9" t="s">
        <v>22</v>
      </c>
      <c r="Y9" t="s">
        <v>23</v>
      </c>
      <c r="AA9" t="s">
        <v>24</v>
      </c>
      <c r="AC9" t="s">
        <v>25</v>
      </c>
      <c r="AE9" t="s">
        <v>26</v>
      </c>
      <c r="AG9" t="s">
        <v>27</v>
      </c>
      <c r="AI9" t="s">
        <v>28</v>
      </c>
      <c r="AK9" t="s">
        <v>29</v>
      </c>
      <c r="AM9" t="s">
        <v>30</v>
      </c>
      <c r="AO9" t="s">
        <v>31</v>
      </c>
      <c r="AQ9" t="s">
        <v>32</v>
      </c>
      <c r="AS9" t="s">
        <v>33</v>
      </c>
      <c r="AU9" t="s">
        <v>34</v>
      </c>
      <c r="AW9" t="s">
        <v>35</v>
      </c>
      <c r="AY9" t="s">
        <v>36</v>
      </c>
      <c r="BA9" t="s">
        <v>37</v>
      </c>
      <c r="BC9" t="s">
        <v>38</v>
      </c>
      <c r="BE9" t="s">
        <v>39</v>
      </c>
    </row>
    <row r="10" spans="1:58" x14ac:dyDescent="0.25">
      <c r="A10" t="s">
        <v>123</v>
      </c>
      <c r="B10" t="s">
        <v>124</v>
      </c>
      <c r="C10" t="s">
        <v>125</v>
      </c>
      <c r="D10" t="s">
        <v>79</v>
      </c>
      <c r="E10" t="s">
        <v>126</v>
      </c>
      <c r="F10" t="s">
        <v>127</v>
      </c>
      <c r="G10" t="s">
        <v>126</v>
      </c>
      <c r="H10" t="s">
        <v>127</v>
      </c>
      <c r="I10" t="s">
        <v>126</v>
      </c>
      <c r="J10" t="s">
        <v>127</v>
      </c>
      <c r="K10" t="s">
        <v>126</v>
      </c>
      <c r="L10" t="s">
        <v>127</v>
      </c>
      <c r="M10" t="s">
        <v>126</v>
      </c>
      <c r="N10" t="s">
        <v>127</v>
      </c>
      <c r="O10" t="s">
        <v>126</v>
      </c>
      <c r="P10" t="s">
        <v>127</v>
      </c>
      <c r="Q10" t="s">
        <v>126</v>
      </c>
      <c r="R10" t="s">
        <v>127</v>
      </c>
      <c r="S10" t="s">
        <v>126</v>
      </c>
      <c r="T10" t="s">
        <v>127</v>
      </c>
      <c r="U10" t="s">
        <v>126</v>
      </c>
      <c r="V10" t="s">
        <v>127</v>
      </c>
      <c r="W10" t="s">
        <v>126</v>
      </c>
      <c r="X10" t="s">
        <v>127</v>
      </c>
      <c r="Y10" t="s">
        <v>126</v>
      </c>
      <c r="Z10" t="s">
        <v>127</v>
      </c>
      <c r="AA10" t="s">
        <v>126</v>
      </c>
      <c r="AB10" t="s">
        <v>127</v>
      </c>
      <c r="AC10" t="s">
        <v>126</v>
      </c>
      <c r="AD10" t="s">
        <v>127</v>
      </c>
      <c r="AE10" t="s">
        <v>126</v>
      </c>
      <c r="AF10" t="s">
        <v>127</v>
      </c>
      <c r="AG10" t="s">
        <v>126</v>
      </c>
      <c r="AH10" t="s">
        <v>127</v>
      </c>
      <c r="AI10" t="s">
        <v>126</v>
      </c>
      <c r="AJ10" t="s">
        <v>127</v>
      </c>
      <c r="AK10" t="s">
        <v>126</v>
      </c>
      <c r="AL10" t="s">
        <v>127</v>
      </c>
      <c r="AM10" t="s">
        <v>126</v>
      </c>
      <c r="AN10" t="s">
        <v>127</v>
      </c>
      <c r="AO10" t="s">
        <v>126</v>
      </c>
      <c r="AP10" t="s">
        <v>127</v>
      </c>
      <c r="AQ10" t="s">
        <v>126</v>
      </c>
      <c r="AR10" t="s">
        <v>127</v>
      </c>
      <c r="AS10" t="s">
        <v>126</v>
      </c>
      <c r="AT10" t="s">
        <v>127</v>
      </c>
      <c r="AU10" t="s">
        <v>126</v>
      </c>
      <c r="AV10" t="s">
        <v>127</v>
      </c>
      <c r="AW10" t="s">
        <v>126</v>
      </c>
      <c r="AX10" t="s">
        <v>127</v>
      </c>
      <c r="AY10" t="s">
        <v>126</v>
      </c>
      <c r="AZ10" t="s">
        <v>127</v>
      </c>
      <c r="BA10" t="s">
        <v>126</v>
      </c>
      <c r="BB10" t="s">
        <v>127</v>
      </c>
      <c r="BC10" t="s">
        <v>126</v>
      </c>
      <c r="BD10" t="s">
        <v>127</v>
      </c>
      <c r="BE10" t="s">
        <v>126</v>
      </c>
      <c r="BF10" t="s">
        <v>127</v>
      </c>
    </row>
    <row r="11" spans="1:58" x14ac:dyDescent="0.25">
      <c r="A11" t="s">
        <v>128</v>
      </c>
      <c r="B11">
        <f>HYPERLINK("#"&amp;CELL("address",OFFSET(Analítico!$B$1,MATCH(104658,Analítico!$B:$B,0)-1,3)),104658)</f>
      </c>
      <c r="C11" t="s">
        <v>129</v>
      </c>
      <c r="D11" t="s">
        <v>130</v>
      </c>
      <c r="E11">
        <v>276.55</v>
      </c>
      <c r="F11">
        <v>0</v>
      </c>
      <c r="G11">
        <v>161.12</v>
      </c>
      <c r="H11">
        <v>0</v>
      </c>
      <c r="I11">
        <v>225.64</v>
      </c>
      <c r="J11">
        <v>0</v>
      </c>
      <c r="K11">
        <v>197.54</v>
      </c>
      <c r="L11">
        <v>0</v>
      </c>
      <c r="M11">
        <v>168.7</v>
      </c>
      <c r="N11">
        <v>0</v>
      </c>
      <c r="O11">
        <v>170.07</v>
      </c>
      <c r="P11">
        <v>0</v>
      </c>
      <c r="Q11">
        <v>183.08</v>
      </c>
      <c r="R11">
        <v>0</v>
      </c>
      <c r="S11">
        <v>185.31</v>
      </c>
      <c r="T11">
        <v>0</v>
      </c>
      <c r="U11">
        <v>188.51</v>
      </c>
      <c r="V11">
        <v>0</v>
      </c>
      <c r="W11">
        <v>173.59</v>
      </c>
      <c r="X11">
        <v>0</v>
      </c>
      <c r="Y11">
        <v>161.89</v>
      </c>
      <c r="Z11">
        <v>0</v>
      </c>
      <c r="AA11">
        <v>174.28</v>
      </c>
      <c r="AB11">
        <v>0</v>
      </c>
      <c r="AC11">
        <v>218.49</v>
      </c>
      <c r="AD11">
        <v>0</v>
      </c>
      <c r="AE11">
        <v>186.2</v>
      </c>
      <c r="AF11">
        <v>0</v>
      </c>
      <c r="AG11">
        <v>149.45</v>
      </c>
      <c r="AH11">
        <v>0</v>
      </c>
      <c r="AI11">
        <v>163.99</v>
      </c>
      <c r="AJ11">
        <v>0</v>
      </c>
      <c r="AK11">
        <v>151.67</v>
      </c>
      <c r="AL11">
        <v>0</v>
      </c>
      <c r="AM11">
        <v>154.71</v>
      </c>
      <c r="AN11">
        <v>0</v>
      </c>
      <c r="AO11">
        <v>186.73</v>
      </c>
      <c r="AP11">
        <v>0</v>
      </c>
      <c r="AQ11">
        <v>165.19</v>
      </c>
      <c r="AR11">
        <v>0</v>
      </c>
      <c r="AS11">
        <v>221.05</v>
      </c>
      <c r="AT11">
        <v>0</v>
      </c>
      <c r="AU11">
        <v>272.78</v>
      </c>
      <c r="AV11">
        <v>0</v>
      </c>
      <c r="AW11">
        <v>153.96</v>
      </c>
      <c r="AX11">
        <v>0</v>
      </c>
      <c r="AY11">
        <v>157.5</v>
      </c>
      <c r="AZ11">
        <v>0</v>
      </c>
      <c r="BA11">
        <v>179.01</v>
      </c>
      <c r="BB11">
        <v>0</v>
      </c>
      <c r="BC11">
        <v>204.51</v>
      </c>
      <c r="BD11">
        <v>0</v>
      </c>
      <c r="BE11">
        <v>201.88</v>
      </c>
      <c r="BF11">
        <v>0</v>
      </c>
    </row>
    <row r="12" spans="1:57" x14ac:dyDescent="0.25">
      <c r="A12" t="s">
        <v>128</v>
      </c>
      <c r="B12">
        <f>HYPERLINK("#"&amp;CELL("address",OFFSET(Analítico!$B$1,MATCH(105006,Analítico!$B:$B,0)-1,3)),105006)</f>
      </c>
      <c r="C12" t="s">
        <v>131</v>
      </c>
      <c r="D12" t="s">
        <v>93</v>
      </c>
      <c r="E12">
        <v>0</v>
      </c>
      <c r="G12">
        <v>0</v>
      </c>
      <c r="I12">
        <v>0</v>
      </c>
      <c r="K12">
        <v>0</v>
      </c>
      <c r="M12">
        <v>0</v>
      </c>
      <c r="O12">
        <v>0</v>
      </c>
      <c r="Q12">
        <v>0</v>
      </c>
      <c r="S12">
        <v>0</v>
      </c>
      <c r="U12">
        <v>0</v>
      </c>
      <c r="W12">
        <v>0</v>
      </c>
      <c r="Y12">
        <v>0</v>
      </c>
      <c r="AA12">
        <v>0</v>
      </c>
      <c r="AC12">
        <v>0</v>
      </c>
      <c r="AE12">
        <v>0</v>
      </c>
      <c r="AG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S12">
        <v>0</v>
      </c>
      <c r="AU12">
        <v>0</v>
      </c>
      <c r="AW12">
        <v>0</v>
      </c>
      <c r="AY12">
        <v>0</v>
      </c>
      <c r="BA12">
        <v>0</v>
      </c>
      <c r="BC12">
        <v>0</v>
      </c>
      <c r="BE12">
        <v>0</v>
      </c>
    </row>
    <row r="13" spans="1:58" x14ac:dyDescent="0.25">
      <c r="A13" t="s">
        <v>132</v>
      </c>
      <c r="B13">
        <f>HYPERLINK("#"&amp;CELL("address",OFFSET(Analítico!$B$1,MATCH(87286,Analítico!$B:$B,0)-1,3)),87286)</f>
      </c>
      <c r="C13" t="s">
        <v>133</v>
      </c>
      <c r="D13" t="s">
        <v>87</v>
      </c>
      <c r="E13">
        <v>954.58</v>
      </c>
      <c r="F13">
        <v>0</v>
      </c>
      <c r="G13">
        <v>643.89</v>
      </c>
      <c r="H13">
        <v>0</v>
      </c>
      <c r="I13">
        <v>711.26</v>
      </c>
      <c r="J13">
        <v>0</v>
      </c>
      <c r="K13">
        <v>722.85</v>
      </c>
      <c r="L13">
        <v>0</v>
      </c>
      <c r="M13">
        <v>868.61</v>
      </c>
      <c r="N13">
        <v>0</v>
      </c>
      <c r="O13">
        <v>695.34</v>
      </c>
      <c r="P13">
        <v>0</v>
      </c>
      <c r="Q13">
        <v>815.34</v>
      </c>
      <c r="R13">
        <v>0</v>
      </c>
      <c r="S13">
        <v>667.9</v>
      </c>
      <c r="T13">
        <v>0</v>
      </c>
      <c r="U13">
        <v>745.35</v>
      </c>
      <c r="V13">
        <v>0</v>
      </c>
      <c r="W13">
        <v>783.69</v>
      </c>
      <c r="X13">
        <v>0</v>
      </c>
      <c r="Y13">
        <v>703.92</v>
      </c>
      <c r="Z13">
        <v>0</v>
      </c>
      <c r="AA13">
        <v>627.41</v>
      </c>
      <c r="AB13">
        <v>0</v>
      </c>
      <c r="AC13">
        <v>692.83</v>
      </c>
      <c r="AD13">
        <v>0</v>
      </c>
      <c r="AE13">
        <v>731.07</v>
      </c>
      <c r="AF13">
        <v>0</v>
      </c>
      <c r="AG13">
        <v>649.77</v>
      </c>
      <c r="AH13">
        <v>0.0043</v>
      </c>
      <c r="AI13">
        <v>728.69</v>
      </c>
      <c r="AJ13">
        <v>0</v>
      </c>
      <c r="AK13">
        <v>713.19</v>
      </c>
      <c r="AL13">
        <v>0</v>
      </c>
      <c r="AM13">
        <v>637.03</v>
      </c>
      <c r="AN13">
        <v>0</v>
      </c>
      <c r="AO13">
        <v>633.88</v>
      </c>
      <c r="AP13">
        <v>0</v>
      </c>
      <c r="AQ13">
        <v>611.55</v>
      </c>
      <c r="AR13">
        <v>0</v>
      </c>
      <c r="AS13">
        <v>873.5</v>
      </c>
      <c r="AT13">
        <v>0</v>
      </c>
      <c r="AU13">
        <v>793.37</v>
      </c>
      <c r="AV13">
        <v>0</v>
      </c>
      <c r="AW13">
        <v>641.79</v>
      </c>
      <c r="AX13">
        <v>0</v>
      </c>
      <c r="AY13">
        <v>711.73</v>
      </c>
      <c r="AZ13">
        <v>0</v>
      </c>
      <c r="BA13">
        <v>678.66</v>
      </c>
      <c r="BB13">
        <v>0.0042</v>
      </c>
      <c r="BC13">
        <v>597.45</v>
      </c>
      <c r="BD13">
        <v>0</v>
      </c>
      <c r="BE13">
        <v>743.33</v>
      </c>
      <c r="BF13">
        <v>0</v>
      </c>
    </row>
    <row r="14" spans="1:58" x14ac:dyDescent="0.25">
      <c r="A14" t="s">
        <v>132</v>
      </c>
      <c r="B14">
        <f>HYPERLINK("#"&amp;CELL("address",OFFSET(Analítico!$B$1,MATCH(87307,Analítico!$B:$B,0)-1,3)),87307)</f>
      </c>
      <c r="C14" t="s">
        <v>134</v>
      </c>
      <c r="D14" t="s">
        <v>87</v>
      </c>
      <c r="E14">
        <v>793.04</v>
      </c>
      <c r="F14">
        <v>0</v>
      </c>
      <c r="G14">
        <v>603.68</v>
      </c>
      <c r="H14">
        <v>0</v>
      </c>
      <c r="I14">
        <v>672.98</v>
      </c>
      <c r="J14">
        <v>0</v>
      </c>
      <c r="K14">
        <v>696.58</v>
      </c>
      <c r="L14">
        <v>0</v>
      </c>
      <c r="M14">
        <v>779.42</v>
      </c>
      <c r="N14">
        <v>0</v>
      </c>
      <c r="O14">
        <v>638.97</v>
      </c>
      <c r="P14">
        <v>0</v>
      </c>
      <c r="Q14">
        <v>762.92</v>
      </c>
      <c r="R14">
        <v>0</v>
      </c>
      <c r="S14">
        <v>562.06</v>
      </c>
      <c r="T14">
        <v>0</v>
      </c>
      <c r="U14">
        <v>718.48</v>
      </c>
      <c r="V14">
        <v>0</v>
      </c>
      <c r="W14">
        <v>750.3</v>
      </c>
      <c r="X14">
        <v>0</v>
      </c>
      <c r="Y14">
        <v>652.74</v>
      </c>
      <c r="Z14">
        <v>0</v>
      </c>
      <c r="AA14">
        <v>561.71</v>
      </c>
      <c r="AB14">
        <v>0</v>
      </c>
      <c r="AC14">
        <v>661.66</v>
      </c>
      <c r="AD14">
        <v>0</v>
      </c>
      <c r="AE14">
        <v>686.23</v>
      </c>
      <c r="AF14">
        <v>0</v>
      </c>
      <c r="AG14">
        <v>609.96</v>
      </c>
      <c r="AH14">
        <v>0.0043</v>
      </c>
      <c r="AI14">
        <v>627.35</v>
      </c>
      <c r="AJ14">
        <v>0</v>
      </c>
      <c r="AK14">
        <v>665.36</v>
      </c>
      <c r="AL14">
        <v>0</v>
      </c>
      <c r="AM14">
        <v>626.21</v>
      </c>
      <c r="AN14">
        <v>0</v>
      </c>
      <c r="AO14">
        <v>550.38</v>
      </c>
      <c r="AP14">
        <v>0</v>
      </c>
      <c r="AQ14">
        <v>630.1</v>
      </c>
      <c r="AR14">
        <v>0</v>
      </c>
      <c r="AS14">
        <v>834.99</v>
      </c>
      <c r="AT14">
        <v>0</v>
      </c>
      <c r="AU14">
        <v>778.34</v>
      </c>
      <c r="AV14">
        <v>0</v>
      </c>
      <c r="AW14">
        <v>609.92</v>
      </c>
      <c r="AX14">
        <v>0</v>
      </c>
      <c r="AY14">
        <v>700.45</v>
      </c>
      <c r="AZ14">
        <v>0</v>
      </c>
      <c r="BA14">
        <v>616.03</v>
      </c>
      <c r="BB14">
        <v>0.0043</v>
      </c>
      <c r="BC14">
        <v>540.75</v>
      </c>
      <c r="BD14">
        <v>0</v>
      </c>
      <c r="BE14">
        <v>678.06</v>
      </c>
      <c r="BF14">
        <v>0</v>
      </c>
    </row>
    <row r="15" spans="1:58" x14ac:dyDescent="0.25">
      <c r="A15" t="s">
        <v>135</v>
      </c>
      <c r="B15">
        <f>HYPERLINK("#"&amp;CELL("address",OFFSET(Analítico!$B$1,MATCH(88831,Analítico!$B:$B,0)-1,3)),88831)</f>
      </c>
      <c r="C15" t="s">
        <v>136</v>
      </c>
      <c r="D15" t="s">
        <v>137</v>
      </c>
      <c r="E15">
        <v>0.44</v>
      </c>
      <c r="F15">
        <v>0</v>
      </c>
      <c r="G15">
        <v>0.37</v>
      </c>
      <c r="H15">
        <v>0</v>
      </c>
      <c r="I15">
        <v>0.4</v>
      </c>
      <c r="J15">
        <v>0</v>
      </c>
      <c r="K15">
        <v>0.46</v>
      </c>
      <c r="L15">
        <v>0</v>
      </c>
      <c r="M15">
        <v>0.43</v>
      </c>
      <c r="N15">
        <v>0</v>
      </c>
      <c r="O15">
        <v>0.45</v>
      </c>
      <c r="P15">
        <v>0</v>
      </c>
      <c r="Q15">
        <v>0.4</v>
      </c>
      <c r="R15">
        <v>0</v>
      </c>
      <c r="S15">
        <v>0.4</v>
      </c>
      <c r="T15">
        <v>0</v>
      </c>
      <c r="U15">
        <v>0.45</v>
      </c>
      <c r="V15">
        <v>0</v>
      </c>
      <c r="W15">
        <v>0.46</v>
      </c>
      <c r="X15">
        <v>0</v>
      </c>
      <c r="Y15">
        <v>0.5</v>
      </c>
      <c r="Z15">
        <v>0</v>
      </c>
      <c r="AA15">
        <v>0.38</v>
      </c>
      <c r="AB15">
        <v>0</v>
      </c>
      <c r="AC15">
        <v>0.45</v>
      </c>
      <c r="AD15">
        <v>0</v>
      </c>
      <c r="AE15">
        <v>0.46</v>
      </c>
      <c r="AF15">
        <v>0</v>
      </c>
      <c r="AG15">
        <v>0.43</v>
      </c>
      <c r="AH15">
        <v>1</v>
      </c>
      <c r="AI15">
        <v>0.42</v>
      </c>
      <c r="AJ15">
        <v>0</v>
      </c>
      <c r="AK15">
        <v>0.54</v>
      </c>
      <c r="AL15">
        <v>0</v>
      </c>
      <c r="AM15">
        <v>0.43</v>
      </c>
      <c r="AN15">
        <v>0</v>
      </c>
      <c r="AO15">
        <v>0.41</v>
      </c>
      <c r="AP15">
        <v>0</v>
      </c>
      <c r="AQ15">
        <v>0.4</v>
      </c>
      <c r="AR15">
        <v>0</v>
      </c>
      <c r="AS15">
        <v>0.48</v>
      </c>
      <c r="AT15">
        <v>0</v>
      </c>
      <c r="AU15">
        <v>0.42</v>
      </c>
      <c r="AV15">
        <v>0</v>
      </c>
      <c r="AW15">
        <v>0.37</v>
      </c>
      <c r="AX15">
        <v>0</v>
      </c>
      <c r="AY15">
        <v>0.4</v>
      </c>
      <c r="AZ15">
        <v>0</v>
      </c>
      <c r="BA15">
        <v>0.43</v>
      </c>
      <c r="BB15">
        <v>1</v>
      </c>
      <c r="BC15">
        <v>0.43</v>
      </c>
      <c r="BD15">
        <v>0</v>
      </c>
      <c r="BE15">
        <v>0.44</v>
      </c>
      <c r="BF15">
        <v>0</v>
      </c>
    </row>
    <row r="16" spans="1:58" x14ac:dyDescent="0.25">
      <c r="A16" t="s">
        <v>135</v>
      </c>
      <c r="B16">
        <f>HYPERLINK("#"&amp;CELL("address",OFFSET(Analítico!$B$1,MATCH(88830,Analítico!$B:$B,0)-1,3)),88830)</f>
      </c>
      <c r="C16" t="s">
        <v>138</v>
      </c>
      <c r="D16" t="s">
        <v>139</v>
      </c>
      <c r="E16">
        <v>2.46</v>
      </c>
      <c r="F16">
        <v>0</v>
      </c>
      <c r="G16">
        <v>2.08</v>
      </c>
      <c r="H16">
        <v>0</v>
      </c>
      <c r="I16">
        <v>1.98</v>
      </c>
      <c r="J16">
        <v>0</v>
      </c>
      <c r="K16">
        <v>2.2</v>
      </c>
      <c r="L16">
        <v>0</v>
      </c>
      <c r="M16">
        <v>2.24</v>
      </c>
      <c r="N16">
        <v>0</v>
      </c>
      <c r="O16">
        <v>2.08</v>
      </c>
      <c r="P16">
        <v>0</v>
      </c>
      <c r="Q16">
        <v>1.76</v>
      </c>
      <c r="R16">
        <v>0</v>
      </c>
      <c r="S16">
        <v>2.02</v>
      </c>
      <c r="T16">
        <v>0</v>
      </c>
      <c r="U16">
        <v>2.32</v>
      </c>
      <c r="V16">
        <v>0</v>
      </c>
      <c r="W16">
        <v>2.24</v>
      </c>
      <c r="X16">
        <v>0</v>
      </c>
      <c r="Y16">
        <v>2.4</v>
      </c>
      <c r="Z16">
        <v>0</v>
      </c>
      <c r="AA16">
        <v>2.32</v>
      </c>
      <c r="AB16">
        <v>0</v>
      </c>
      <c r="AC16">
        <v>2.31</v>
      </c>
      <c r="AD16">
        <v>0</v>
      </c>
      <c r="AE16">
        <v>2.39</v>
      </c>
      <c r="AF16">
        <v>0</v>
      </c>
      <c r="AG16">
        <v>1.89</v>
      </c>
      <c r="AH16">
        <v>0.4339</v>
      </c>
      <c r="AI16">
        <v>2.08</v>
      </c>
      <c r="AJ16">
        <v>0</v>
      </c>
      <c r="AK16">
        <v>2.39</v>
      </c>
      <c r="AL16">
        <v>0</v>
      </c>
      <c r="AM16">
        <v>1.87</v>
      </c>
      <c r="AN16">
        <v>0</v>
      </c>
      <c r="AO16">
        <v>2.39</v>
      </c>
      <c r="AP16">
        <v>0</v>
      </c>
      <c r="AQ16">
        <v>2.02</v>
      </c>
      <c r="AR16">
        <v>0</v>
      </c>
      <c r="AS16">
        <v>2.91</v>
      </c>
      <c r="AT16">
        <v>0</v>
      </c>
      <c r="AU16">
        <v>2.03</v>
      </c>
      <c r="AV16">
        <v>0</v>
      </c>
      <c r="AW16">
        <v>2.1</v>
      </c>
      <c r="AX16">
        <v>0</v>
      </c>
      <c r="AY16">
        <v>1.88</v>
      </c>
      <c r="AZ16">
        <v>0</v>
      </c>
      <c r="BA16">
        <v>2.07</v>
      </c>
      <c r="BB16">
        <v>0.3961</v>
      </c>
      <c r="BC16">
        <v>1.9</v>
      </c>
      <c r="BD16">
        <v>0</v>
      </c>
      <c r="BE16">
        <v>2.51</v>
      </c>
      <c r="BF16">
        <v>0</v>
      </c>
    </row>
    <row r="17" spans="1:58" x14ac:dyDescent="0.25">
      <c r="A17" t="s">
        <v>140</v>
      </c>
      <c r="B17">
        <f>HYPERLINK("#"&amp;CELL("address",OFFSET(Analítico!$B$1,MATCH(88826,Analítico!$B:$B,0)-1,3)),88826)</f>
      </c>
      <c r="C17" t="s">
        <v>141</v>
      </c>
      <c r="D17" t="s">
        <v>83</v>
      </c>
      <c r="E17">
        <v>0.36</v>
      </c>
      <c r="F17">
        <v>0</v>
      </c>
      <c r="G17">
        <v>0.3</v>
      </c>
      <c r="H17">
        <v>0</v>
      </c>
      <c r="I17">
        <v>0.33</v>
      </c>
      <c r="J17">
        <v>0</v>
      </c>
      <c r="K17">
        <v>0.38</v>
      </c>
      <c r="L17">
        <v>0</v>
      </c>
      <c r="M17">
        <v>0.35</v>
      </c>
      <c r="N17">
        <v>0</v>
      </c>
      <c r="O17">
        <v>0.37</v>
      </c>
      <c r="P17">
        <v>0</v>
      </c>
      <c r="Q17">
        <v>0.33</v>
      </c>
      <c r="R17">
        <v>0</v>
      </c>
      <c r="S17">
        <v>0.33</v>
      </c>
      <c r="T17">
        <v>0</v>
      </c>
      <c r="U17">
        <v>0.37</v>
      </c>
      <c r="V17">
        <v>0</v>
      </c>
      <c r="W17">
        <v>0.38</v>
      </c>
      <c r="X17">
        <v>0</v>
      </c>
      <c r="Y17">
        <v>0.41</v>
      </c>
      <c r="Z17">
        <v>0</v>
      </c>
      <c r="AA17">
        <v>0.31</v>
      </c>
      <c r="AB17">
        <v>0</v>
      </c>
      <c r="AC17">
        <v>0.37</v>
      </c>
      <c r="AD17">
        <v>0</v>
      </c>
      <c r="AE17">
        <v>0.38</v>
      </c>
      <c r="AF17">
        <v>0</v>
      </c>
      <c r="AG17">
        <v>0.35</v>
      </c>
      <c r="AH17">
        <v>1</v>
      </c>
      <c r="AI17">
        <v>0.34</v>
      </c>
      <c r="AJ17">
        <v>0</v>
      </c>
      <c r="AK17">
        <v>0.44</v>
      </c>
      <c r="AL17">
        <v>0</v>
      </c>
      <c r="AM17">
        <v>0.35</v>
      </c>
      <c r="AN17">
        <v>0</v>
      </c>
      <c r="AO17">
        <v>0.34</v>
      </c>
      <c r="AP17">
        <v>0</v>
      </c>
      <c r="AQ17">
        <v>0.33</v>
      </c>
      <c r="AR17">
        <v>0</v>
      </c>
      <c r="AS17">
        <v>0.39</v>
      </c>
      <c r="AT17">
        <v>0</v>
      </c>
      <c r="AU17">
        <v>0.34</v>
      </c>
      <c r="AV17">
        <v>0</v>
      </c>
      <c r="AW17">
        <v>0.3</v>
      </c>
      <c r="AX17">
        <v>0</v>
      </c>
      <c r="AY17">
        <v>0.33</v>
      </c>
      <c r="AZ17">
        <v>0</v>
      </c>
      <c r="BA17">
        <v>0.35</v>
      </c>
      <c r="BB17">
        <v>1</v>
      </c>
      <c r="BC17">
        <v>0.35</v>
      </c>
      <c r="BD17">
        <v>0</v>
      </c>
      <c r="BE17">
        <v>0.36</v>
      </c>
      <c r="BF17">
        <v>0</v>
      </c>
    </row>
    <row r="18" spans="1:58" x14ac:dyDescent="0.25">
      <c r="A18" t="s">
        <v>140</v>
      </c>
      <c r="B18">
        <f>HYPERLINK("#"&amp;CELL("address",OFFSET(Analítico!$B$1,MATCH(88827,Analítico!$B:$B,0)-1,3)),88827)</f>
      </c>
      <c r="C18" t="s">
        <v>142</v>
      </c>
      <c r="D18" t="s">
        <v>83</v>
      </c>
      <c r="E18">
        <v>0.08</v>
      </c>
      <c r="F18">
        <v>0</v>
      </c>
      <c r="G18">
        <v>0.07</v>
      </c>
      <c r="H18">
        <v>0</v>
      </c>
      <c r="I18">
        <v>0.07</v>
      </c>
      <c r="J18">
        <v>0</v>
      </c>
      <c r="K18">
        <v>0.08</v>
      </c>
      <c r="L18">
        <v>0</v>
      </c>
      <c r="M18">
        <v>0.08</v>
      </c>
      <c r="N18">
        <v>0</v>
      </c>
      <c r="O18">
        <v>0.08</v>
      </c>
      <c r="P18">
        <v>0</v>
      </c>
      <c r="Q18">
        <v>0.07</v>
      </c>
      <c r="R18">
        <v>0</v>
      </c>
      <c r="S18">
        <v>0.07</v>
      </c>
      <c r="T18">
        <v>0</v>
      </c>
      <c r="U18">
        <v>0.08</v>
      </c>
      <c r="V18">
        <v>0</v>
      </c>
      <c r="W18">
        <v>0.08</v>
      </c>
      <c r="X18">
        <v>0</v>
      </c>
      <c r="Y18">
        <v>0.09</v>
      </c>
      <c r="Z18">
        <v>0</v>
      </c>
      <c r="AA18">
        <v>0.07</v>
      </c>
      <c r="AB18">
        <v>0</v>
      </c>
      <c r="AC18">
        <v>0.08</v>
      </c>
      <c r="AD18">
        <v>0</v>
      </c>
      <c r="AE18">
        <v>0.08</v>
      </c>
      <c r="AF18">
        <v>0</v>
      </c>
      <c r="AG18">
        <v>0.08</v>
      </c>
      <c r="AH18">
        <v>1</v>
      </c>
      <c r="AI18">
        <v>0.08</v>
      </c>
      <c r="AJ18">
        <v>0</v>
      </c>
      <c r="AK18">
        <v>0.1</v>
      </c>
      <c r="AL18">
        <v>0</v>
      </c>
      <c r="AM18">
        <v>0.08</v>
      </c>
      <c r="AN18">
        <v>0</v>
      </c>
      <c r="AO18">
        <v>0.07</v>
      </c>
      <c r="AP18">
        <v>0</v>
      </c>
      <c r="AQ18">
        <v>0.07</v>
      </c>
      <c r="AR18">
        <v>0</v>
      </c>
      <c r="AS18">
        <v>0.09</v>
      </c>
      <c r="AT18">
        <v>0</v>
      </c>
      <c r="AU18">
        <v>0.08</v>
      </c>
      <c r="AV18">
        <v>0</v>
      </c>
      <c r="AW18">
        <v>0.07</v>
      </c>
      <c r="AX18">
        <v>0</v>
      </c>
      <c r="AY18">
        <v>0.07</v>
      </c>
      <c r="AZ18">
        <v>0</v>
      </c>
      <c r="BA18">
        <v>0.08</v>
      </c>
      <c r="BB18">
        <v>1</v>
      </c>
      <c r="BC18">
        <v>0.08</v>
      </c>
      <c r="BD18">
        <v>0</v>
      </c>
      <c r="BE18">
        <v>0.08</v>
      </c>
      <c r="BF18">
        <v>0</v>
      </c>
    </row>
    <row r="19" spans="1:58" x14ac:dyDescent="0.25">
      <c r="A19" t="s">
        <v>140</v>
      </c>
      <c r="B19">
        <f>HYPERLINK("#"&amp;CELL("address",OFFSET(Analítico!$B$1,MATCH(88828,Analítico!$B:$B,0)-1,3)),88828)</f>
      </c>
      <c r="C19" t="s">
        <v>143</v>
      </c>
      <c r="D19" t="s">
        <v>83</v>
      </c>
      <c r="E19">
        <v>0.4</v>
      </c>
      <c r="F19">
        <v>0</v>
      </c>
      <c r="G19">
        <v>0.33</v>
      </c>
      <c r="H19">
        <v>0</v>
      </c>
      <c r="I19">
        <v>0.36</v>
      </c>
      <c r="J19">
        <v>0</v>
      </c>
      <c r="K19">
        <v>0.41</v>
      </c>
      <c r="L19">
        <v>0</v>
      </c>
      <c r="M19">
        <v>0.39</v>
      </c>
      <c r="N19">
        <v>0</v>
      </c>
      <c r="O19">
        <v>0.4</v>
      </c>
      <c r="P19">
        <v>0</v>
      </c>
      <c r="Q19">
        <v>0.36</v>
      </c>
      <c r="R19">
        <v>0</v>
      </c>
      <c r="S19">
        <v>0.36</v>
      </c>
      <c r="T19">
        <v>0</v>
      </c>
      <c r="U19">
        <v>0.4</v>
      </c>
      <c r="V19">
        <v>0</v>
      </c>
      <c r="W19">
        <v>0.42</v>
      </c>
      <c r="X19">
        <v>0</v>
      </c>
      <c r="Y19">
        <v>0.45</v>
      </c>
      <c r="Z19">
        <v>0</v>
      </c>
      <c r="AA19">
        <v>0.34</v>
      </c>
      <c r="AB19">
        <v>0</v>
      </c>
      <c r="AC19">
        <v>0.4</v>
      </c>
      <c r="AD19">
        <v>0</v>
      </c>
      <c r="AE19">
        <v>0.41</v>
      </c>
      <c r="AF19">
        <v>0</v>
      </c>
      <c r="AG19">
        <v>0.39</v>
      </c>
      <c r="AH19">
        <v>1</v>
      </c>
      <c r="AI19">
        <v>0.38</v>
      </c>
      <c r="AJ19">
        <v>0</v>
      </c>
      <c r="AK19">
        <v>0.48</v>
      </c>
      <c r="AL19">
        <v>0</v>
      </c>
      <c r="AM19">
        <v>0.38</v>
      </c>
      <c r="AN19">
        <v>0</v>
      </c>
      <c r="AO19">
        <v>0.37</v>
      </c>
      <c r="AP19">
        <v>0</v>
      </c>
      <c r="AQ19">
        <v>0.36</v>
      </c>
      <c r="AR19">
        <v>0</v>
      </c>
      <c r="AS19">
        <v>0.43</v>
      </c>
      <c r="AT19">
        <v>0</v>
      </c>
      <c r="AU19">
        <v>0.38</v>
      </c>
      <c r="AV19">
        <v>0</v>
      </c>
      <c r="AW19">
        <v>0.33</v>
      </c>
      <c r="AX19">
        <v>0</v>
      </c>
      <c r="AY19">
        <v>0.37</v>
      </c>
      <c r="AZ19">
        <v>0</v>
      </c>
      <c r="BA19">
        <v>0.39</v>
      </c>
      <c r="BB19">
        <v>1</v>
      </c>
      <c r="BC19">
        <v>0.39</v>
      </c>
      <c r="BD19">
        <v>0</v>
      </c>
      <c r="BE19">
        <v>0.39</v>
      </c>
      <c r="BF19">
        <v>0</v>
      </c>
    </row>
    <row r="20" spans="1:58" x14ac:dyDescent="0.25">
      <c r="A20" t="s">
        <v>140</v>
      </c>
      <c r="B20">
        <f>HYPERLINK("#"&amp;CELL("address",OFFSET(Analítico!$B$1,MATCH(88829,Analítico!$B:$B,0)-1,3)),88829)</f>
      </c>
      <c r="C20" t="s">
        <v>144</v>
      </c>
      <c r="D20" t="s">
        <v>83</v>
      </c>
      <c r="E20">
        <v>1.62</v>
      </c>
      <c r="F20">
        <v>0</v>
      </c>
      <c r="G20">
        <v>1.38</v>
      </c>
      <c r="H20">
        <v>0</v>
      </c>
      <c r="I20">
        <v>1.22</v>
      </c>
      <c r="J20">
        <v>0</v>
      </c>
      <c r="K20">
        <v>1.33</v>
      </c>
      <c r="L20">
        <v>0</v>
      </c>
      <c r="M20">
        <v>1.42</v>
      </c>
      <c r="N20">
        <v>0</v>
      </c>
      <c r="O20">
        <v>1.23</v>
      </c>
      <c r="P20">
        <v>0</v>
      </c>
      <c r="Q20">
        <v>1</v>
      </c>
      <c r="R20">
        <v>0</v>
      </c>
      <c r="S20">
        <v>1.26</v>
      </c>
      <c r="T20">
        <v>0</v>
      </c>
      <c r="U20">
        <v>1.47</v>
      </c>
      <c r="V20">
        <v>0</v>
      </c>
      <c r="W20">
        <v>1.36</v>
      </c>
      <c r="X20">
        <v>0</v>
      </c>
      <c r="Y20">
        <v>1.45</v>
      </c>
      <c r="Z20">
        <v>0</v>
      </c>
      <c r="AA20">
        <v>1.6</v>
      </c>
      <c r="AB20">
        <v>0</v>
      </c>
      <c r="AC20">
        <v>1.46</v>
      </c>
      <c r="AD20">
        <v>0</v>
      </c>
      <c r="AE20">
        <v>1.52</v>
      </c>
      <c r="AF20">
        <v>0</v>
      </c>
      <c r="AG20">
        <v>1.07</v>
      </c>
      <c r="AH20">
        <v>0</v>
      </c>
      <c r="AI20">
        <v>1.28</v>
      </c>
      <c r="AJ20">
        <v>0</v>
      </c>
      <c r="AK20">
        <v>1.37</v>
      </c>
      <c r="AL20">
        <v>0</v>
      </c>
      <c r="AM20">
        <v>1.06</v>
      </c>
      <c r="AN20">
        <v>0</v>
      </c>
      <c r="AO20">
        <v>1.61</v>
      </c>
      <c r="AP20">
        <v>0</v>
      </c>
      <c r="AQ20">
        <v>1.26</v>
      </c>
      <c r="AR20">
        <v>0</v>
      </c>
      <c r="AS20">
        <v>2</v>
      </c>
      <c r="AT20">
        <v>0</v>
      </c>
      <c r="AU20">
        <v>1.23</v>
      </c>
      <c r="AV20">
        <v>0</v>
      </c>
      <c r="AW20">
        <v>1.4</v>
      </c>
      <c r="AX20">
        <v>0</v>
      </c>
      <c r="AY20">
        <v>1.11</v>
      </c>
      <c r="AZ20">
        <v>0</v>
      </c>
      <c r="BA20">
        <v>1.25</v>
      </c>
      <c r="BB20">
        <v>0</v>
      </c>
      <c r="BC20">
        <v>1.08</v>
      </c>
      <c r="BD20">
        <v>0</v>
      </c>
      <c r="BE20">
        <v>1.68</v>
      </c>
      <c r="BF20">
        <v>0</v>
      </c>
    </row>
    <row r="21" spans="1:58" x14ac:dyDescent="0.25">
      <c r="A21" t="s">
        <v>145</v>
      </c>
      <c r="B21">
        <f>HYPERLINK("#"&amp;CELL("address",OFFSET(Analítico!$B$1,MATCH(95389,Analítico!$B:$B,0)-1,3)),95389)</f>
      </c>
      <c r="C21" t="s">
        <v>146</v>
      </c>
      <c r="D21" t="s">
        <v>83</v>
      </c>
      <c r="E21">
        <v>0.13</v>
      </c>
      <c r="F21">
        <v>0</v>
      </c>
      <c r="G21">
        <v>0.11</v>
      </c>
      <c r="H21">
        <v>0</v>
      </c>
      <c r="I21">
        <v>0.19</v>
      </c>
      <c r="J21">
        <v>0</v>
      </c>
      <c r="K21">
        <v>0.11</v>
      </c>
      <c r="L21">
        <v>0</v>
      </c>
      <c r="M21">
        <v>0.28</v>
      </c>
      <c r="N21">
        <v>0</v>
      </c>
      <c r="O21">
        <v>0.17</v>
      </c>
      <c r="P21">
        <v>0</v>
      </c>
      <c r="Q21">
        <v>0.15</v>
      </c>
      <c r="R21">
        <v>0</v>
      </c>
      <c r="S21">
        <v>0.18</v>
      </c>
      <c r="T21">
        <v>0</v>
      </c>
      <c r="U21">
        <v>0.11</v>
      </c>
      <c r="V21">
        <v>0</v>
      </c>
      <c r="W21">
        <v>0.2</v>
      </c>
      <c r="X21">
        <v>0</v>
      </c>
      <c r="Y21">
        <v>0.18</v>
      </c>
      <c r="Z21">
        <v>0</v>
      </c>
      <c r="AA21">
        <v>0.17</v>
      </c>
      <c r="AB21">
        <v>0</v>
      </c>
      <c r="AC21">
        <v>0.13</v>
      </c>
      <c r="AD21">
        <v>0</v>
      </c>
      <c r="AE21">
        <v>0.15</v>
      </c>
      <c r="AF21">
        <v>0</v>
      </c>
      <c r="AG21">
        <v>0.12</v>
      </c>
      <c r="AH21">
        <v>0</v>
      </c>
      <c r="AI21">
        <v>0.13</v>
      </c>
      <c r="AJ21">
        <v>0</v>
      </c>
      <c r="AK21">
        <v>0.17</v>
      </c>
      <c r="AL21">
        <v>0</v>
      </c>
      <c r="AM21">
        <v>0.21</v>
      </c>
      <c r="AN21">
        <v>0</v>
      </c>
      <c r="AO21">
        <v>0.19</v>
      </c>
      <c r="AP21">
        <v>0</v>
      </c>
      <c r="AQ21">
        <v>0.16</v>
      </c>
      <c r="AR21">
        <v>0</v>
      </c>
      <c r="AS21">
        <v>0.15</v>
      </c>
      <c r="AT21">
        <v>0</v>
      </c>
      <c r="AU21">
        <v>0.12</v>
      </c>
      <c r="AV21">
        <v>0</v>
      </c>
      <c r="AW21">
        <v>0.2</v>
      </c>
      <c r="AX21">
        <v>0</v>
      </c>
      <c r="AY21">
        <v>0.25</v>
      </c>
      <c r="AZ21">
        <v>0</v>
      </c>
      <c r="BA21">
        <v>0.15</v>
      </c>
      <c r="BB21">
        <v>0</v>
      </c>
      <c r="BC21">
        <v>0.2</v>
      </c>
      <c r="BD21">
        <v>0</v>
      </c>
      <c r="BE21">
        <v>0.12</v>
      </c>
      <c r="BF21">
        <v>0</v>
      </c>
    </row>
    <row r="22" spans="1:58" x14ac:dyDescent="0.25">
      <c r="A22" t="s">
        <v>145</v>
      </c>
      <c r="B22">
        <f>HYPERLINK("#"&amp;CELL("address",OFFSET(Analítico!$B$1,MATCH(95371,Analítico!$B:$B,0)-1,3)),95371)</f>
      </c>
      <c r="C22" t="s">
        <v>147</v>
      </c>
      <c r="D22" t="s">
        <v>83</v>
      </c>
      <c r="E22">
        <v>0.49</v>
      </c>
      <c r="F22">
        <v>0</v>
      </c>
      <c r="G22">
        <v>0.39</v>
      </c>
      <c r="H22">
        <v>0</v>
      </c>
      <c r="I22">
        <v>0.45</v>
      </c>
      <c r="J22">
        <v>0</v>
      </c>
      <c r="K22">
        <v>0.43</v>
      </c>
      <c r="L22">
        <v>0</v>
      </c>
      <c r="M22">
        <v>0.5</v>
      </c>
      <c r="N22">
        <v>0</v>
      </c>
      <c r="O22">
        <v>0.45</v>
      </c>
      <c r="P22">
        <v>0</v>
      </c>
      <c r="Q22">
        <v>0.47</v>
      </c>
      <c r="R22">
        <v>0</v>
      </c>
      <c r="S22">
        <v>0.46</v>
      </c>
      <c r="T22">
        <v>0</v>
      </c>
      <c r="U22">
        <v>0.5</v>
      </c>
      <c r="V22">
        <v>0</v>
      </c>
      <c r="W22">
        <v>0.43</v>
      </c>
      <c r="X22">
        <v>0</v>
      </c>
      <c r="Y22">
        <v>0.5</v>
      </c>
      <c r="Z22">
        <v>0</v>
      </c>
      <c r="AA22">
        <v>0.44</v>
      </c>
      <c r="AB22">
        <v>0</v>
      </c>
      <c r="AC22">
        <v>0.43</v>
      </c>
      <c r="AD22">
        <v>0</v>
      </c>
      <c r="AE22">
        <v>0.43</v>
      </c>
      <c r="AF22">
        <v>0</v>
      </c>
      <c r="AG22">
        <v>0.45</v>
      </c>
      <c r="AH22">
        <v>0</v>
      </c>
      <c r="AI22">
        <v>0.46</v>
      </c>
      <c r="AJ22">
        <v>0</v>
      </c>
      <c r="AK22">
        <v>0.42</v>
      </c>
      <c r="AL22">
        <v>0</v>
      </c>
      <c r="AM22">
        <v>0.6</v>
      </c>
      <c r="AN22">
        <v>0</v>
      </c>
      <c r="AO22">
        <v>0.58</v>
      </c>
      <c r="AP22">
        <v>0</v>
      </c>
      <c r="AQ22">
        <v>0.39</v>
      </c>
      <c r="AR22">
        <v>0</v>
      </c>
      <c r="AS22">
        <v>0.47</v>
      </c>
      <c r="AT22">
        <v>0</v>
      </c>
      <c r="AU22">
        <v>0.5</v>
      </c>
      <c r="AV22">
        <v>0</v>
      </c>
      <c r="AW22">
        <v>0.47</v>
      </c>
      <c r="AX22">
        <v>0</v>
      </c>
      <c r="AY22">
        <v>0.63</v>
      </c>
      <c r="AZ22">
        <v>0</v>
      </c>
      <c r="BA22">
        <v>0.42</v>
      </c>
      <c r="BB22">
        <v>0</v>
      </c>
      <c r="BC22">
        <v>0.53</v>
      </c>
      <c r="BD22">
        <v>0</v>
      </c>
      <c r="BE22">
        <v>0.41</v>
      </c>
      <c r="BF22">
        <v>0</v>
      </c>
    </row>
    <row r="23" spans="1:58" x14ac:dyDescent="0.25">
      <c r="A23" t="s">
        <v>145</v>
      </c>
      <c r="B23">
        <f>HYPERLINK("#"&amp;CELL("address",OFFSET(Analítico!$B$1,MATCH(95378,Analítico!$B:$B,0)-1,3)),95378)</f>
      </c>
      <c r="C23" t="s">
        <v>148</v>
      </c>
      <c r="D23" t="s">
        <v>83</v>
      </c>
      <c r="E23">
        <v>0.34</v>
      </c>
      <c r="F23">
        <v>0</v>
      </c>
      <c r="G23">
        <v>0.31</v>
      </c>
      <c r="H23">
        <v>0</v>
      </c>
      <c r="I23">
        <v>0.33</v>
      </c>
      <c r="J23">
        <v>0</v>
      </c>
      <c r="K23">
        <v>0.31</v>
      </c>
      <c r="L23">
        <v>0</v>
      </c>
      <c r="M23">
        <v>0.32</v>
      </c>
      <c r="N23">
        <v>0</v>
      </c>
      <c r="O23">
        <v>0.31</v>
      </c>
      <c r="P23">
        <v>0</v>
      </c>
      <c r="Q23">
        <v>0.32</v>
      </c>
      <c r="R23">
        <v>0</v>
      </c>
      <c r="S23">
        <v>0.35</v>
      </c>
      <c r="T23">
        <v>0</v>
      </c>
      <c r="U23">
        <v>0.3</v>
      </c>
      <c r="V23">
        <v>0</v>
      </c>
      <c r="W23">
        <v>0.31</v>
      </c>
      <c r="X23">
        <v>0</v>
      </c>
      <c r="Y23">
        <v>0.34</v>
      </c>
      <c r="Z23">
        <v>0</v>
      </c>
      <c r="AA23">
        <v>0.32</v>
      </c>
      <c r="AB23">
        <v>0</v>
      </c>
      <c r="AC23">
        <v>0.32</v>
      </c>
      <c r="AD23">
        <v>0</v>
      </c>
      <c r="AE23">
        <v>0.31</v>
      </c>
      <c r="AF23">
        <v>0</v>
      </c>
      <c r="AG23">
        <v>0.33</v>
      </c>
      <c r="AH23">
        <v>0</v>
      </c>
      <c r="AI23">
        <v>0.34</v>
      </c>
      <c r="AJ23">
        <v>0</v>
      </c>
      <c r="AK23">
        <v>0.31</v>
      </c>
      <c r="AL23">
        <v>0</v>
      </c>
      <c r="AM23">
        <v>0.42</v>
      </c>
      <c r="AN23">
        <v>0</v>
      </c>
      <c r="AO23">
        <v>0.44</v>
      </c>
      <c r="AP23">
        <v>0</v>
      </c>
      <c r="AQ23">
        <v>0.31</v>
      </c>
      <c r="AR23">
        <v>0</v>
      </c>
      <c r="AS23">
        <v>0.38</v>
      </c>
      <c r="AT23">
        <v>0</v>
      </c>
      <c r="AU23">
        <v>0.31</v>
      </c>
      <c r="AV23">
        <v>0</v>
      </c>
      <c r="AW23">
        <v>0.36</v>
      </c>
      <c r="AX23">
        <v>0</v>
      </c>
      <c r="AY23">
        <v>0.44</v>
      </c>
      <c r="AZ23">
        <v>0</v>
      </c>
      <c r="BA23">
        <v>0.3</v>
      </c>
      <c r="BB23">
        <v>0</v>
      </c>
      <c r="BC23">
        <v>0.44</v>
      </c>
      <c r="BD23">
        <v>0</v>
      </c>
      <c r="BE23">
        <v>0.31</v>
      </c>
      <c r="BF23">
        <v>0</v>
      </c>
    </row>
    <row r="24" spans="1:58" x14ac:dyDescent="0.25">
      <c r="A24" t="s">
        <v>145</v>
      </c>
      <c r="B24">
        <f>HYPERLINK("#"&amp;CELL("address",OFFSET(Analítico!$B$1,MATCH(88377,Analítico!$B:$B,0)-1,3)),88377)</f>
      </c>
      <c r="C24" t="s">
        <v>149</v>
      </c>
      <c r="D24" t="s">
        <v>83</v>
      </c>
      <c r="E24">
        <v>22.58</v>
      </c>
      <c r="F24">
        <v>0</v>
      </c>
      <c r="G24">
        <v>20.11</v>
      </c>
      <c r="H24">
        <v>0</v>
      </c>
      <c r="I24">
        <v>33.54</v>
      </c>
      <c r="J24">
        <v>0</v>
      </c>
      <c r="K24">
        <v>17.74</v>
      </c>
      <c r="L24">
        <v>0</v>
      </c>
      <c r="M24">
        <v>42.53</v>
      </c>
      <c r="N24">
        <v>0</v>
      </c>
      <c r="O24">
        <v>29.04</v>
      </c>
      <c r="P24">
        <v>0</v>
      </c>
      <c r="Q24">
        <v>26.68</v>
      </c>
      <c r="R24">
        <v>0</v>
      </c>
      <c r="S24">
        <v>33.64</v>
      </c>
      <c r="T24">
        <v>0</v>
      </c>
      <c r="U24">
        <v>20.59</v>
      </c>
      <c r="V24">
        <v>0</v>
      </c>
      <c r="W24">
        <v>30.28</v>
      </c>
      <c r="X24">
        <v>0</v>
      </c>
      <c r="Y24">
        <v>28.29</v>
      </c>
      <c r="Z24">
        <v>0</v>
      </c>
      <c r="AA24">
        <v>26.81</v>
      </c>
      <c r="AB24">
        <v>0</v>
      </c>
      <c r="AC24">
        <v>22.59</v>
      </c>
      <c r="AD24">
        <v>0</v>
      </c>
      <c r="AE24">
        <v>28.35</v>
      </c>
      <c r="AF24">
        <v>0</v>
      </c>
      <c r="AG24">
        <v>20.76</v>
      </c>
      <c r="AH24">
        <v>0</v>
      </c>
      <c r="AI24">
        <v>22.18</v>
      </c>
      <c r="AJ24">
        <v>0</v>
      </c>
      <c r="AK24">
        <v>27.17</v>
      </c>
      <c r="AL24">
        <v>0</v>
      </c>
      <c r="AM24">
        <v>35.78</v>
      </c>
      <c r="AN24">
        <v>0</v>
      </c>
      <c r="AO24">
        <v>32.27</v>
      </c>
      <c r="AP24">
        <v>0</v>
      </c>
      <c r="AQ24">
        <v>27.64</v>
      </c>
      <c r="AR24">
        <v>0</v>
      </c>
      <c r="AS24">
        <v>25.57</v>
      </c>
      <c r="AT24">
        <v>0</v>
      </c>
      <c r="AU24">
        <v>22.46</v>
      </c>
      <c r="AV24">
        <v>0</v>
      </c>
      <c r="AW24">
        <v>29.87</v>
      </c>
      <c r="AX24">
        <v>0</v>
      </c>
      <c r="AY24">
        <v>34.96</v>
      </c>
      <c r="AZ24">
        <v>0</v>
      </c>
      <c r="BA24">
        <v>25.27</v>
      </c>
      <c r="BB24">
        <v>0</v>
      </c>
      <c r="BC24">
        <v>32.95</v>
      </c>
      <c r="BD24">
        <v>0</v>
      </c>
      <c r="BE24">
        <v>20.94</v>
      </c>
      <c r="BF24">
        <v>0</v>
      </c>
    </row>
    <row r="25" spans="1:58" x14ac:dyDescent="0.25">
      <c r="A25" t="s">
        <v>145</v>
      </c>
      <c r="B25">
        <f>HYPERLINK("#"&amp;CELL("address",OFFSET(Analítico!$B$1,MATCH(88309,Analítico!$B:$B,0)-1,3)),88309)</f>
      </c>
      <c r="C25" t="s">
        <v>150</v>
      </c>
      <c r="D25" t="s">
        <v>83</v>
      </c>
      <c r="E25">
        <v>31.19</v>
      </c>
      <c r="F25">
        <v>0</v>
      </c>
      <c r="G25">
        <v>25.88</v>
      </c>
      <c r="H25">
        <v>0</v>
      </c>
      <c r="I25">
        <v>32.51</v>
      </c>
      <c r="J25">
        <v>0</v>
      </c>
      <c r="K25">
        <v>25.88</v>
      </c>
      <c r="L25">
        <v>0</v>
      </c>
      <c r="M25">
        <v>33.84</v>
      </c>
      <c r="N25">
        <v>0</v>
      </c>
      <c r="O25">
        <v>31</v>
      </c>
      <c r="P25">
        <v>0</v>
      </c>
      <c r="Q25">
        <v>32.09</v>
      </c>
      <c r="R25">
        <v>0</v>
      </c>
      <c r="S25">
        <v>34.5</v>
      </c>
      <c r="T25">
        <v>0</v>
      </c>
      <c r="U25">
        <v>31.77</v>
      </c>
      <c r="V25">
        <v>0</v>
      </c>
      <c r="W25">
        <v>27.36</v>
      </c>
      <c r="X25">
        <v>0</v>
      </c>
      <c r="Y25">
        <v>31.67</v>
      </c>
      <c r="Z25">
        <v>0</v>
      </c>
      <c r="AA25">
        <v>28</v>
      </c>
      <c r="AB25">
        <v>0</v>
      </c>
      <c r="AC25">
        <v>28.94</v>
      </c>
      <c r="AD25">
        <v>0</v>
      </c>
      <c r="AE25">
        <v>31.1</v>
      </c>
      <c r="AF25">
        <v>0</v>
      </c>
      <c r="AG25">
        <v>28.28</v>
      </c>
      <c r="AH25">
        <v>0</v>
      </c>
      <c r="AI25">
        <v>29.19</v>
      </c>
      <c r="AJ25">
        <v>0</v>
      </c>
      <c r="AK25">
        <v>27.82</v>
      </c>
      <c r="AL25">
        <v>0</v>
      </c>
      <c r="AM25">
        <v>39.78</v>
      </c>
      <c r="AN25">
        <v>0</v>
      </c>
      <c r="AO25">
        <v>38.23</v>
      </c>
      <c r="AP25">
        <v>0</v>
      </c>
      <c r="AQ25">
        <v>28.19</v>
      </c>
      <c r="AR25">
        <v>0</v>
      </c>
      <c r="AS25">
        <v>30.35</v>
      </c>
      <c r="AT25">
        <v>0</v>
      </c>
      <c r="AU25">
        <v>32.36</v>
      </c>
      <c r="AV25">
        <v>0</v>
      </c>
      <c r="AW25">
        <v>29.29</v>
      </c>
      <c r="AX25">
        <v>0</v>
      </c>
      <c r="AY25">
        <v>35.62</v>
      </c>
      <c r="AZ25">
        <v>0</v>
      </c>
      <c r="BA25">
        <v>27.3</v>
      </c>
      <c r="BB25">
        <v>0</v>
      </c>
      <c r="BC25">
        <v>35.18</v>
      </c>
      <c r="BD25">
        <v>0</v>
      </c>
      <c r="BE25">
        <v>27.35</v>
      </c>
      <c r="BF25">
        <v>0</v>
      </c>
    </row>
    <row r="26" spans="1:58" x14ac:dyDescent="0.25">
      <c r="A26" t="s">
        <v>145</v>
      </c>
      <c r="B26">
        <f>HYPERLINK("#"&amp;CELL("address",OFFSET(Analítico!$B$1,MATCH(88316,Analítico!$B:$B,0)-1,3)),88316)</f>
      </c>
      <c r="C26" t="s">
        <v>151</v>
      </c>
      <c r="D26" t="s">
        <v>83</v>
      </c>
      <c r="E26">
        <v>23.67</v>
      </c>
      <c r="F26">
        <v>0</v>
      </c>
      <c r="G26">
        <v>21.72</v>
      </c>
      <c r="H26">
        <v>0</v>
      </c>
      <c r="I26">
        <v>26.88</v>
      </c>
      <c r="J26">
        <v>0</v>
      </c>
      <c r="K26">
        <v>20.09</v>
      </c>
      <c r="L26">
        <v>0</v>
      </c>
      <c r="M26">
        <v>24.91</v>
      </c>
      <c r="N26">
        <v>0</v>
      </c>
      <c r="O26">
        <v>24.19</v>
      </c>
      <c r="P26">
        <v>0</v>
      </c>
      <c r="Q26">
        <v>24.82</v>
      </c>
      <c r="R26">
        <v>0</v>
      </c>
      <c r="S26">
        <v>28.84</v>
      </c>
      <c r="T26">
        <v>0</v>
      </c>
      <c r="U26">
        <v>22.41</v>
      </c>
      <c r="V26">
        <v>0</v>
      </c>
      <c r="W26">
        <v>21.38</v>
      </c>
      <c r="X26">
        <v>0</v>
      </c>
      <c r="Y26">
        <v>23.58</v>
      </c>
      <c r="Z26">
        <v>0</v>
      </c>
      <c r="AA26">
        <v>22.36</v>
      </c>
      <c r="AB26">
        <v>0</v>
      </c>
      <c r="AC26">
        <v>23.48</v>
      </c>
      <c r="AD26">
        <v>0</v>
      </c>
      <c r="AE26">
        <v>25.66</v>
      </c>
      <c r="AF26">
        <v>0</v>
      </c>
      <c r="AG26">
        <v>22.75</v>
      </c>
      <c r="AH26">
        <v>0</v>
      </c>
      <c r="AI26">
        <v>23.65</v>
      </c>
      <c r="AJ26">
        <v>0</v>
      </c>
      <c r="AK26">
        <v>22.46</v>
      </c>
      <c r="AL26">
        <v>0</v>
      </c>
      <c r="AM26">
        <v>31.12</v>
      </c>
      <c r="AN26">
        <v>0</v>
      </c>
      <c r="AO26">
        <v>31.73</v>
      </c>
      <c r="AP26">
        <v>0</v>
      </c>
      <c r="AQ26">
        <v>24.57</v>
      </c>
      <c r="AR26">
        <v>0</v>
      </c>
      <c r="AS26">
        <v>26.11</v>
      </c>
      <c r="AT26">
        <v>0</v>
      </c>
      <c r="AU26">
        <v>23.36</v>
      </c>
      <c r="AV26">
        <v>0</v>
      </c>
      <c r="AW26">
        <v>24.37</v>
      </c>
      <c r="AX26">
        <v>0</v>
      </c>
      <c r="AY26">
        <v>26.31</v>
      </c>
      <c r="AZ26">
        <v>0</v>
      </c>
      <c r="BA26">
        <v>21.65</v>
      </c>
      <c r="BB26">
        <v>0</v>
      </c>
      <c r="BC26">
        <v>30.48</v>
      </c>
      <c r="BD26">
        <v>0</v>
      </c>
      <c r="BE26">
        <v>22.14</v>
      </c>
      <c r="BF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153</v>
      </c>
    </row>
    <row r="3" spans="1:2" x14ac:dyDescent="0.25">
      <c r="A3" t="s">
        <v>7</v>
      </c>
      <c r="B3" t="s">
        <v>8</v>
      </c>
    </row>
    <row r="4" spans="1:2" x14ac:dyDescent="0.25">
      <c r="A4" t="s">
        <v>10</v>
      </c>
      <c r="B4" t="s">
        <v>11</v>
      </c>
    </row>
    <row r="6" spans="1:2" x14ac:dyDescent="0.25">
      <c r="A6" t="s">
        <v>118</v>
      </c>
      <c r="B6" t="s">
        <v>119</v>
      </c>
    </row>
    <row r="7" spans="2:2" x14ac:dyDescent="0.25">
      <c r="B7" t="s">
        <v>120</v>
      </c>
    </row>
    <row r="8" spans="2:2" x14ac:dyDescent="0.25">
      <c r="B8" t="s">
        <v>121</v>
      </c>
    </row>
    <row r="9" spans="2:57" x14ac:dyDescent="0.25">
      <c r="B9" t="s">
        <v>122</v>
      </c>
      <c r="E9" t="s">
        <v>13</v>
      </c>
      <c r="G9" t="s">
        <v>14</v>
      </c>
      <c r="I9" t="s">
        <v>15</v>
      </c>
      <c r="K9" t="s">
        <v>16</v>
      </c>
      <c r="M9" t="s">
        <v>17</v>
      </c>
      <c r="O9" t="s">
        <v>18</v>
      </c>
      <c r="Q9" t="s">
        <v>19</v>
      </c>
      <c r="S9" t="s">
        <v>20</v>
      </c>
      <c r="U9" t="s">
        <v>21</v>
      </c>
      <c r="W9" t="s">
        <v>22</v>
      </c>
      <c r="Y9" t="s">
        <v>23</v>
      </c>
      <c r="AA9" t="s">
        <v>24</v>
      </c>
      <c r="AC9" t="s">
        <v>25</v>
      </c>
      <c r="AE9" t="s">
        <v>26</v>
      </c>
      <c r="AG9" t="s">
        <v>27</v>
      </c>
      <c r="AI9" t="s">
        <v>28</v>
      </c>
      <c r="AK9" t="s">
        <v>29</v>
      </c>
      <c r="AM9" t="s">
        <v>30</v>
      </c>
      <c r="AO9" t="s">
        <v>31</v>
      </c>
      <c r="AQ9" t="s">
        <v>32</v>
      </c>
      <c r="AS9" t="s">
        <v>33</v>
      </c>
      <c r="AU9" t="s">
        <v>34</v>
      </c>
      <c r="AW9" t="s">
        <v>35</v>
      </c>
      <c r="AY9" t="s">
        <v>36</v>
      </c>
      <c r="BA9" t="s">
        <v>37</v>
      </c>
      <c r="BC9" t="s">
        <v>38</v>
      </c>
      <c r="BE9" t="s">
        <v>39</v>
      </c>
    </row>
    <row r="10" spans="1:58" x14ac:dyDescent="0.25">
      <c r="A10" t="s">
        <v>123</v>
      </c>
      <c r="B10" t="s">
        <v>124</v>
      </c>
      <c r="C10" t="s">
        <v>125</v>
      </c>
      <c r="D10" t="s">
        <v>79</v>
      </c>
      <c r="E10" t="s">
        <v>126</v>
      </c>
      <c r="F10" t="s">
        <v>127</v>
      </c>
      <c r="G10" t="s">
        <v>126</v>
      </c>
      <c r="H10" t="s">
        <v>127</v>
      </c>
      <c r="I10" t="s">
        <v>126</v>
      </c>
      <c r="J10" t="s">
        <v>127</v>
      </c>
      <c r="K10" t="s">
        <v>126</v>
      </c>
      <c r="L10" t="s">
        <v>127</v>
      </c>
      <c r="M10" t="s">
        <v>126</v>
      </c>
      <c r="N10" t="s">
        <v>127</v>
      </c>
      <c r="O10" t="s">
        <v>126</v>
      </c>
      <c r="P10" t="s">
        <v>127</v>
      </c>
      <c r="Q10" t="s">
        <v>126</v>
      </c>
      <c r="R10" t="s">
        <v>127</v>
      </c>
      <c r="S10" t="s">
        <v>126</v>
      </c>
      <c r="T10" t="s">
        <v>127</v>
      </c>
      <c r="U10" t="s">
        <v>126</v>
      </c>
      <c r="V10" t="s">
        <v>127</v>
      </c>
      <c r="W10" t="s">
        <v>126</v>
      </c>
      <c r="X10" t="s">
        <v>127</v>
      </c>
      <c r="Y10" t="s">
        <v>126</v>
      </c>
      <c r="Z10" t="s">
        <v>127</v>
      </c>
      <c r="AA10" t="s">
        <v>126</v>
      </c>
      <c r="AB10" t="s">
        <v>127</v>
      </c>
      <c r="AC10" t="s">
        <v>126</v>
      </c>
      <c r="AD10" t="s">
        <v>127</v>
      </c>
      <c r="AE10" t="s">
        <v>126</v>
      </c>
      <c r="AF10" t="s">
        <v>127</v>
      </c>
      <c r="AG10" t="s">
        <v>126</v>
      </c>
      <c r="AH10" t="s">
        <v>127</v>
      </c>
      <c r="AI10" t="s">
        <v>126</v>
      </c>
      <c r="AJ10" t="s">
        <v>127</v>
      </c>
      <c r="AK10" t="s">
        <v>126</v>
      </c>
      <c r="AL10" t="s">
        <v>127</v>
      </c>
      <c r="AM10" t="s">
        <v>126</v>
      </c>
      <c r="AN10" t="s">
        <v>127</v>
      </c>
      <c r="AO10" t="s">
        <v>126</v>
      </c>
      <c r="AP10" t="s">
        <v>127</v>
      </c>
      <c r="AQ10" t="s">
        <v>126</v>
      </c>
      <c r="AR10" t="s">
        <v>127</v>
      </c>
      <c r="AS10" t="s">
        <v>126</v>
      </c>
      <c r="AT10" t="s">
        <v>127</v>
      </c>
      <c r="AU10" t="s">
        <v>126</v>
      </c>
      <c r="AV10" t="s">
        <v>127</v>
      </c>
      <c r="AW10" t="s">
        <v>126</v>
      </c>
      <c r="AX10" t="s">
        <v>127</v>
      </c>
      <c r="AY10" t="s">
        <v>126</v>
      </c>
      <c r="AZ10" t="s">
        <v>127</v>
      </c>
      <c r="BA10" t="s">
        <v>126</v>
      </c>
      <c r="BB10" t="s">
        <v>127</v>
      </c>
      <c r="BC10" t="s">
        <v>126</v>
      </c>
      <c r="BD10" t="s">
        <v>127</v>
      </c>
      <c r="BE10" t="s">
        <v>126</v>
      </c>
      <c r="BF10" t="s">
        <v>127</v>
      </c>
    </row>
    <row r="11" spans="1:58" x14ac:dyDescent="0.25">
      <c r="A11" t="s">
        <v>128</v>
      </c>
      <c r="B11">
        <f>HYPERLINK("#"&amp;CELL("address",OFFSET(Analítico!$B$1,MATCH(104658,Analítico!$B:$B,0)-1,3)),104658)</f>
      </c>
      <c r="C11" t="s">
        <v>129</v>
      </c>
      <c r="D11" t="s">
        <v>130</v>
      </c>
      <c r="E11">
        <v>258.67</v>
      </c>
      <c r="F11">
        <v>0</v>
      </c>
      <c r="G11">
        <v>145.36</v>
      </c>
      <c r="H11">
        <v>0</v>
      </c>
      <c r="I11">
        <v>208.49</v>
      </c>
      <c r="J11">
        <v>0</v>
      </c>
      <c r="K11">
        <v>181.06</v>
      </c>
      <c r="L11">
        <v>0</v>
      </c>
      <c r="M11">
        <v>150.87</v>
      </c>
      <c r="N11">
        <v>0</v>
      </c>
      <c r="O11">
        <v>153.31</v>
      </c>
      <c r="P11">
        <v>0</v>
      </c>
      <c r="Q11">
        <v>166.21</v>
      </c>
      <c r="R11">
        <v>0</v>
      </c>
      <c r="S11">
        <v>167.11</v>
      </c>
      <c r="T11">
        <v>0</v>
      </c>
      <c r="U11">
        <v>171.89</v>
      </c>
      <c r="V11">
        <v>0</v>
      </c>
      <c r="W11">
        <v>157.23</v>
      </c>
      <c r="X11">
        <v>0</v>
      </c>
      <c r="Y11">
        <v>143.56</v>
      </c>
      <c r="Z11">
        <v>0</v>
      </c>
      <c r="AA11">
        <v>157.43</v>
      </c>
      <c r="AB11">
        <v>0</v>
      </c>
      <c r="AC11">
        <v>202.45</v>
      </c>
      <c r="AD11">
        <v>0</v>
      </c>
      <c r="AE11">
        <v>169.54</v>
      </c>
      <c r="AF11">
        <v>0</v>
      </c>
      <c r="AG11">
        <v>131.91</v>
      </c>
      <c r="AH11">
        <v>0</v>
      </c>
      <c r="AI11">
        <v>146.32</v>
      </c>
      <c r="AJ11">
        <v>0</v>
      </c>
      <c r="AK11">
        <v>135.61</v>
      </c>
      <c r="AL11">
        <v>0</v>
      </c>
      <c r="AM11">
        <v>132.2</v>
      </c>
      <c r="AN11">
        <v>0</v>
      </c>
      <c r="AO11">
        <v>164.37</v>
      </c>
      <c r="AP11">
        <v>0</v>
      </c>
      <c r="AQ11">
        <v>149.27</v>
      </c>
      <c r="AR11">
        <v>0</v>
      </c>
      <c r="AS11">
        <v>202.03</v>
      </c>
      <c r="AT11">
        <v>0</v>
      </c>
      <c r="AU11">
        <v>255.56</v>
      </c>
      <c r="AV11">
        <v>0</v>
      </c>
      <c r="AW11">
        <v>135.71</v>
      </c>
      <c r="AX11">
        <v>0</v>
      </c>
      <c r="AY11">
        <v>134.26</v>
      </c>
      <c r="AZ11">
        <v>0</v>
      </c>
      <c r="BA11">
        <v>163.42</v>
      </c>
      <c r="BB11">
        <v>0</v>
      </c>
      <c r="BC11">
        <v>182.72</v>
      </c>
      <c r="BD11">
        <v>0</v>
      </c>
      <c r="BE11">
        <v>185.92</v>
      </c>
      <c r="BF11">
        <v>0</v>
      </c>
    </row>
    <row r="12" spans="1:57" x14ac:dyDescent="0.25">
      <c r="A12" t="s">
        <v>128</v>
      </c>
      <c r="B12">
        <f>HYPERLINK("#"&amp;CELL("address",OFFSET(Analítico!$B$1,MATCH(105006,Analítico!$B:$B,0)-1,3)),105006)</f>
      </c>
      <c r="C12" t="s">
        <v>131</v>
      </c>
      <c r="D12" t="s">
        <v>93</v>
      </c>
      <c r="E12">
        <v>0</v>
      </c>
      <c r="G12">
        <v>0</v>
      </c>
      <c r="I12">
        <v>0</v>
      </c>
      <c r="K12">
        <v>0</v>
      </c>
      <c r="M12">
        <v>0</v>
      </c>
      <c r="O12">
        <v>0</v>
      </c>
      <c r="Q12">
        <v>0</v>
      </c>
      <c r="S12">
        <v>0</v>
      </c>
      <c r="U12">
        <v>0</v>
      </c>
      <c r="W12">
        <v>0</v>
      </c>
      <c r="Y12">
        <v>0</v>
      </c>
      <c r="AA12">
        <v>0</v>
      </c>
      <c r="AC12">
        <v>0</v>
      </c>
      <c r="AE12">
        <v>0</v>
      </c>
      <c r="AG12">
        <v>0</v>
      </c>
      <c r="AI12">
        <v>0</v>
      </c>
      <c r="AK12">
        <v>0</v>
      </c>
      <c r="AM12">
        <v>0</v>
      </c>
      <c r="AO12">
        <v>0</v>
      </c>
      <c r="AQ12">
        <v>0</v>
      </c>
      <c r="AS12">
        <v>0</v>
      </c>
      <c r="AU12">
        <v>0</v>
      </c>
      <c r="AW12">
        <v>0</v>
      </c>
      <c r="AY12">
        <v>0</v>
      </c>
      <c r="BA12">
        <v>0</v>
      </c>
      <c r="BC12">
        <v>0</v>
      </c>
      <c r="BE12">
        <v>0</v>
      </c>
    </row>
    <row r="13" spans="1:58" x14ac:dyDescent="0.25">
      <c r="A13" t="s">
        <v>132</v>
      </c>
      <c r="B13">
        <f>HYPERLINK("#"&amp;CELL("address",OFFSET(Analítico!$B$1,MATCH(87286,Analítico!$B:$B,0)-1,3)),87286)</f>
      </c>
      <c r="C13" t="s">
        <v>133</v>
      </c>
      <c r="D13" t="s">
        <v>87</v>
      </c>
      <c r="E13">
        <v>910.08</v>
      </c>
      <c r="F13">
        <v>0</v>
      </c>
      <c r="G13">
        <v>604.2</v>
      </c>
      <c r="H13">
        <v>0</v>
      </c>
      <c r="I13">
        <v>646.33</v>
      </c>
      <c r="J13">
        <v>0</v>
      </c>
      <c r="K13">
        <v>683.99</v>
      </c>
      <c r="L13">
        <v>0</v>
      </c>
      <c r="M13">
        <v>774.49</v>
      </c>
      <c r="N13">
        <v>0</v>
      </c>
      <c r="O13">
        <v>637.34</v>
      </c>
      <c r="P13">
        <v>0</v>
      </c>
      <c r="Q13">
        <v>765.82</v>
      </c>
      <c r="R13">
        <v>0</v>
      </c>
      <c r="S13">
        <v>604.93</v>
      </c>
      <c r="T13">
        <v>0</v>
      </c>
      <c r="U13">
        <v>708.35</v>
      </c>
      <c r="V13">
        <v>0</v>
      </c>
      <c r="W13">
        <v>715.31</v>
      </c>
      <c r="X13">
        <v>0</v>
      </c>
      <c r="Y13">
        <v>642.7</v>
      </c>
      <c r="Z13">
        <v>0</v>
      </c>
      <c r="AA13">
        <v>569.2</v>
      </c>
      <c r="AB13">
        <v>0</v>
      </c>
      <c r="AC13">
        <v>650.74</v>
      </c>
      <c r="AD13">
        <v>0</v>
      </c>
      <c r="AE13">
        <v>677.61</v>
      </c>
      <c r="AF13">
        <v>0</v>
      </c>
      <c r="AG13">
        <v>606.97</v>
      </c>
      <c r="AH13">
        <v>0.0046</v>
      </c>
      <c r="AI13">
        <v>684.31</v>
      </c>
      <c r="AJ13">
        <v>0</v>
      </c>
      <c r="AK13">
        <v>655.03</v>
      </c>
      <c r="AL13">
        <v>0</v>
      </c>
      <c r="AM13">
        <v>564.93</v>
      </c>
      <c r="AN13">
        <v>0</v>
      </c>
      <c r="AO13">
        <v>571.13</v>
      </c>
      <c r="AP13">
        <v>0</v>
      </c>
      <c r="AQ13">
        <v>558.03</v>
      </c>
      <c r="AR13">
        <v>0</v>
      </c>
      <c r="AS13">
        <v>821.14</v>
      </c>
      <c r="AT13">
        <v>0</v>
      </c>
      <c r="AU13">
        <v>751.17</v>
      </c>
      <c r="AV13">
        <v>0</v>
      </c>
      <c r="AW13">
        <v>576.15</v>
      </c>
      <c r="AX13">
        <v>0</v>
      </c>
      <c r="AY13">
        <v>627.11</v>
      </c>
      <c r="AZ13">
        <v>0</v>
      </c>
      <c r="BA13">
        <v>626.9</v>
      </c>
      <c r="BB13">
        <v>0.0045</v>
      </c>
      <c r="BC13">
        <v>529.67</v>
      </c>
      <c r="BD13">
        <v>0</v>
      </c>
      <c r="BE13">
        <v>702.17</v>
      </c>
      <c r="BF13">
        <v>0</v>
      </c>
    </row>
    <row r="14" spans="1:58" x14ac:dyDescent="0.25">
      <c r="A14" t="s">
        <v>132</v>
      </c>
      <c r="B14">
        <f>HYPERLINK("#"&amp;CELL("address",OFFSET(Analítico!$B$1,MATCH(87307,Analítico!$B:$B,0)-1,3)),87307)</f>
      </c>
      <c r="C14" t="s">
        <v>134</v>
      </c>
      <c r="D14" t="s">
        <v>87</v>
      </c>
      <c r="E14">
        <v>751.71</v>
      </c>
      <c r="F14">
        <v>0</v>
      </c>
      <c r="G14">
        <v>566.82</v>
      </c>
      <c r="H14">
        <v>0</v>
      </c>
      <c r="I14">
        <v>612.66</v>
      </c>
      <c r="J14">
        <v>0</v>
      </c>
      <c r="K14">
        <v>660.48</v>
      </c>
      <c r="L14">
        <v>0</v>
      </c>
      <c r="M14">
        <v>691.98</v>
      </c>
      <c r="N14">
        <v>0</v>
      </c>
      <c r="O14">
        <v>585.1</v>
      </c>
      <c r="P14">
        <v>0</v>
      </c>
      <c r="Q14">
        <v>716.92</v>
      </c>
      <c r="R14">
        <v>0</v>
      </c>
      <c r="S14">
        <v>503.57</v>
      </c>
      <c r="T14">
        <v>0</v>
      </c>
      <c r="U14">
        <v>684.1</v>
      </c>
      <c r="V14">
        <v>0</v>
      </c>
      <c r="W14">
        <v>686.78</v>
      </c>
      <c r="X14">
        <v>0</v>
      </c>
      <c r="Y14">
        <v>595.88</v>
      </c>
      <c r="Z14">
        <v>0</v>
      </c>
      <c r="AA14">
        <v>507.64</v>
      </c>
      <c r="AB14">
        <v>0</v>
      </c>
      <c r="AC14">
        <v>622.57</v>
      </c>
      <c r="AD14">
        <v>0</v>
      </c>
      <c r="AE14">
        <v>636.57</v>
      </c>
      <c r="AF14">
        <v>0</v>
      </c>
      <c r="AG14">
        <v>570.21</v>
      </c>
      <c r="AH14">
        <v>0.0046</v>
      </c>
      <c r="AI14">
        <v>586.12</v>
      </c>
      <c r="AJ14">
        <v>0</v>
      </c>
      <c r="AK14">
        <v>611.33</v>
      </c>
      <c r="AL14">
        <v>0</v>
      </c>
      <c r="AM14">
        <v>559.24</v>
      </c>
      <c r="AN14">
        <v>0</v>
      </c>
      <c r="AO14">
        <v>492.09</v>
      </c>
      <c r="AP14">
        <v>0</v>
      </c>
      <c r="AQ14">
        <v>580.4</v>
      </c>
      <c r="AR14">
        <v>0</v>
      </c>
      <c r="AS14">
        <v>786.35</v>
      </c>
      <c r="AT14">
        <v>0</v>
      </c>
      <c r="AU14">
        <v>739.15</v>
      </c>
      <c r="AV14">
        <v>0</v>
      </c>
      <c r="AW14">
        <v>548.94</v>
      </c>
      <c r="AX14">
        <v>0</v>
      </c>
      <c r="AY14">
        <v>621.85</v>
      </c>
      <c r="AZ14">
        <v>0</v>
      </c>
      <c r="BA14">
        <v>567.95</v>
      </c>
      <c r="BB14">
        <v>0.0046</v>
      </c>
      <c r="BC14">
        <v>477.79</v>
      </c>
      <c r="BD14">
        <v>0</v>
      </c>
      <c r="BE14">
        <v>639.83</v>
      </c>
      <c r="BF14">
        <v>0</v>
      </c>
    </row>
    <row r="15" spans="1:58" x14ac:dyDescent="0.25">
      <c r="A15" t="s">
        <v>135</v>
      </c>
      <c r="B15">
        <f>HYPERLINK("#"&amp;CELL("address",OFFSET(Analítico!$B$1,MATCH(88831,Analítico!$B:$B,0)-1,3)),88831)</f>
      </c>
      <c r="C15" t="s">
        <v>136</v>
      </c>
      <c r="D15" t="s">
        <v>137</v>
      </c>
      <c r="E15">
        <v>0.44</v>
      </c>
      <c r="F15">
        <v>0</v>
      </c>
      <c r="G15">
        <v>0.37</v>
      </c>
      <c r="H15">
        <v>0</v>
      </c>
      <c r="I15">
        <v>0.4</v>
      </c>
      <c r="J15">
        <v>0</v>
      </c>
      <c r="K15">
        <v>0.46</v>
      </c>
      <c r="L15">
        <v>0</v>
      </c>
      <c r="M15">
        <v>0.43</v>
      </c>
      <c r="N15">
        <v>0</v>
      </c>
      <c r="O15">
        <v>0.45</v>
      </c>
      <c r="P15">
        <v>0</v>
      </c>
      <c r="Q15">
        <v>0.4</v>
      </c>
      <c r="R15">
        <v>0</v>
      </c>
      <c r="S15">
        <v>0.4</v>
      </c>
      <c r="T15">
        <v>0</v>
      </c>
      <c r="U15">
        <v>0.45</v>
      </c>
      <c r="V15">
        <v>0</v>
      </c>
      <c r="W15">
        <v>0.46</v>
      </c>
      <c r="X15">
        <v>0</v>
      </c>
      <c r="Y15">
        <v>0.5</v>
      </c>
      <c r="Z15">
        <v>0</v>
      </c>
      <c r="AA15">
        <v>0.38</v>
      </c>
      <c r="AB15">
        <v>0</v>
      </c>
      <c r="AC15">
        <v>0.45</v>
      </c>
      <c r="AD15">
        <v>0</v>
      </c>
      <c r="AE15">
        <v>0.46</v>
      </c>
      <c r="AF15">
        <v>0</v>
      </c>
      <c r="AG15">
        <v>0.43</v>
      </c>
      <c r="AH15">
        <v>1</v>
      </c>
      <c r="AI15">
        <v>0.42</v>
      </c>
      <c r="AJ15">
        <v>0</v>
      </c>
      <c r="AK15">
        <v>0.54</v>
      </c>
      <c r="AL15">
        <v>0</v>
      </c>
      <c r="AM15">
        <v>0.43</v>
      </c>
      <c r="AN15">
        <v>0</v>
      </c>
      <c r="AO15">
        <v>0.41</v>
      </c>
      <c r="AP15">
        <v>0</v>
      </c>
      <c r="AQ15">
        <v>0.4</v>
      </c>
      <c r="AR15">
        <v>0</v>
      </c>
      <c r="AS15">
        <v>0.48</v>
      </c>
      <c r="AT15">
        <v>0</v>
      </c>
      <c r="AU15">
        <v>0.42</v>
      </c>
      <c r="AV15">
        <v>0</v>
      </c>
      <c r="AW15">
        <v>0.37</v>
      </c>
      <c r="AX15">
        <v>0</v>
      </c>
      <c r="AY15">
        <v>0.4</v>
      </c>
      <c r="AZ15">
        <v>0</v>
      </c>
      <c r="BA15">
        <v>0.43</v>
      </c>
      <c r="BB15">
        <v>1</v>
      </c>
      <c r="BC15">
        <v>0.43</v>
      </c>
      <c r="BD15">
        <v>0</v>
      </c>
      <c r="BE15">
        <v>0.44</v>
      </c>
      <c r="BF15">
        <v>0</v>
      </c>
    </row>
    <row r="16" spans="1:58" x14ac:dyDescent="0.25">
      <c r="A16" t="s">
        <v>135</v>
      </c>
      <c r="B16">
        <f>HYPERLINK("#"&amp;CELL("address",OFFSET(Analítico!$B$1,MATCH(88830,Analítico!$B:$B,0)-1,3)),88830)</f>
      </c>
      <c r="C16" t="s">
        <v>138</v>
      </c>
      <c r="D16" t="s">
        <v>139</v>
      </c>
      <c r="E16">
        <v>2.46</v>
      </c>
      <c r="F16">
        <v>0</v>
      </c>
      <c r="G16">
        <v>2.08</v>
      </c>
      <c r="H16">
        <v>0</v>
      </c>
      <c r="I16">
        <v>1.98</v>
      </c>
      <c r="J16">
        <v>0</v>
      </c>
      <c r="K16">
        <v>2.2</v>
      </c>
      <c r="L16">
        <v>0</v>
      </c>
      <c r="M16">
        <v>2.24</v>
      </c>
      <c r="N16">
        <v>0</v>
      </c>
      <c r="O16">
        <v>2.08</v>
      </c>
      <c r="P16">
        <v>0</v>
      </c>
      <c r="Q16">
        <v>1.76</v>
      </c>
      <c r="R16">
        <v>0</v>
      </c>
      <c r="S16">
        <v>2.02</v>
      </c>
      <c r="T16">
        <v>0</v>
      </c>
      <c r="U16">
        <v>2.32</v>
      </c>
      <c r="V16">
        <v>0</v>
      </c>
      <c r="W16">
        <v>2.24</v>
      </c>
      <c r="X16">
        <v>0</v>
      </c>
      <c r="Y16">
        <v>2.4</v>
      </c>
      <c r="Z16">
        <v>0</v>
      </c>
      <c r="AA16">
        <v>2.32</v>
      </c>
      <c r="AB16">
        <v>0</v>
      </c>
      <c r="AC16">
        <v>2.31</v>
      </c>
      <c r="AD16">
        <v>0</v>
      </c>
      <c r="AE16">
        <v>2.39</v>
      </c>
      <c r="AF16">
        <v>0</v>
      </c>
      <c r="AG16">
        <v>1.89</v>
      </c>
      <c r="AH16">
        <v>0.4339</v>
      </c>
      <c r="AI16">
        <v>2.08</v>
      </c>
      <c r="AJ16">
        <v>0</v>
      </c>
      <c r="AK16">
        <v>2.39</v>
      </c>
      <c r="AL16">
        <v>0</v>
      </c>
      <c r="AM16">
        <v>1.87</v>
      </c>
      <c r="AN16">
        <v>0</v>
      </c>
      <c r="AO16">
        <v>2.39</v>
      </c>
      <c r="AP16">
        <v>0</v>
      </c>
      <c r="AQ16">
        <v>2.02</v>
      </c>
      <c r="AR16">
        <v>0</v>
      </c>
      <c r="AS16">
        <v>2.91</v>
      </c>
      <c r="AT16">
        <v>0</v>
      </c>
      <c r="AU16">
        <v>2.03</v>
      </c>
      <c r="AV16">
        <v>0</v>
      </c>
      <c r="AW16">
        <v>2.1</v>
      </c>
      <c r="AX16">
        <v>0</v>
      </c>
      <c r="AY16">
        <v>1.88</v>
      </c>
      <c r="AZ16">
        <v>0</v>
      </c>
      <c r="BA16">
        <v>2.07</v>
      </c>
      <c r="BB16">
        <v>0.3961</v>
      </c>
      <c r="BC16">
        <v>1.9</v>
      </c>
      <c r="BD16">
        <v>0</v>
      </c>
      <c r="BE16">
        <v>2.51</v>
      </c>
      <c r="BF16">
        <v>0</v>
      </c>
    </row>
    <row r="17" spans="1:58" x14ac:dyDescent="0.25">
      <c r="A17" t="s">
        <v>140</v>
      </c>
      <c r="B17">
        <f>HYPERLINK("#"&amp;CELL("address",OFFSET(Analítico!$B$1,MATCH(88826,Analítico!$B:$B,0)-1,3)),88826)</f>
      </c>
      <c r="C17" t="s">
        <v>141</v>
      </c>
      <c r="D17" t="s">
        <v>83</v>
      </c>
      <c r="E17">
        <v>0.36</v>
      </c>
      <c r="F17">
        <v>0</v>
      </c>
      <c r="G17">
        <v>0.3</v>
      </c>
      <c r="H17">
        <v>0</v>
      </c>
      <c r="I17">
        <v>0.33</v>
      </c>
      <c r="J17">
        <v>0</v>
      </c>
      <c r="K17">
        <v>0.38</v>
      </c>
      <c r="L17">
        <v>0</v>
      </c>
      <c r="M17">
        <v>0.35</v>
      </c>
      <c r="N17">
        <v>0</v>
      </c>
      <c r="O17">
        <v>0.37</v>
      </c>
      <c r="P17">
        <v>0</v>
      </c>
      <c r="Q17">
        <v>0.33</v>
      </c>
      <c r="R17">
        <v>0</v>
      </c>
      <c r="S17">
        <v>0.33</v>
      </c>
      <c r="T17">
        <v>0</v>
      </c>
      <c r="U17">
        <v>0.37</v>
      </c>
      <c r="V17">
        <v>0</v>
      </c>
      <c r="W17">
        <v>0.38</v>
      </c>
      <c r="X17">
        <v>0</v>
      </c>
      <c r="Y17">
        <v>0.41</v>
      </c>
      <c r="Z17">
        <v>0</v>
      </c>
      <c r="AA17">
        <v>0.31</v>
      </c>
      <c r="AB17">
        <v>0</v>
      </c>
      <c r="AC17">
        <v>0.37</v>
      </c>
      <c r="AD17">
        <v>0</v>
      </c>
      <c r="AE17">
        <v>0.38</v>
      </c>
      <c r="AF17">
        <v>0</v>
      </c>
      <c r="AG17">
        <v>0.35</v>
      </c>
      <c r="AH17">
        <v>1</v>
      </c>
      <c r="AI17">
        <v>0.34</v>
      </c>
      <c r="AJ17">
        <v>0</v>
      </c>
      <c r="AK17">
        <v>0.44</v>
      </c>
      <c r="AL17">
        <v>0</v>
      </c>
      <c r="AM17">
        <v>0.35</v>
      </c>
      <c r="AN17">
        <v>0</v>
      </c>
      <c r="AO17">
        <v>0.34</v>
      </c>
      <c r="AP17">
        <v>0</v>
      </c>
      <c r="AQ17">
        <v>0.33</v>
      </c>
      <c r="AR17">
        <v>0</v>
      </c>
      <c r="AS17">
        <v>0.39</v>
      </c>
      <c r="AT17">
        <v>0</v>
      </c>
      <c r="AU17">
        <v>0.34</v>
      </c>
      <c r="AV17">
        <v>0</v>
      </c>
      <c r="AW17">
        <v>0.3</v>
      </c>
      <c r="AX17">
        <v>0</v>
      </c>
      <c r="AY17">
        <v>0.33</v>
      </c>
      <c r="AZ17">
        <v>0</v>
      </c>
      <c r="BA17">
        <v>0.35</v>
      </c>
      <c r="BB17">
        <v>1</v>
      </c>
      <c r="BC17">
        <v>0.35</v>
      </c>
      <c r="BD17">
        <v>0</v>
      </c>
      <c r="BE17">
        <v>0.36</v>
      </c>
      <c r="BF17">
        <v>0</v>
      </c>
    </row>
    <row r="18" spans="1:58" x14ac:dyDescent="0.25">
      <c r="A18" t="s">
        <v>140</v>
      </c>
      <c r="B18">
        <f>HYPERLINK("#"&amp;CELL("address",OFFSET(Analítico!$B$1,MATCH(88827,Analítico!$B:$B,0)-1,3)),88827)</f>
      </c>
      <c r="C18" t="s">
        <v>142</v>
      </c>
      <c r="D18" t="s">
        <v>83</v>
      </c>
      <c r="E18">
        <v>0.08</v>
      </c>
      <c r="F18">
        <v>0</v>
      </c>
      <c r="G18">
        <v>0.07</v>
      </c>
      <c r="H18">
        <v>0</v>
      </c>
      <c r="I18">
        <v>0.07</v>
      </c>
      <c r="J18">
        <v>0</v>
      </c>
      <c r="K18">
        <v>0.08</v>
      </c>
      <c r="L18">
        <v>0</v>
      </c>
      <c r="M18">
        <v>0.08</v>
      </c>
      <c r="N18">
        <v>0</v>
      </c>
      <c r="O18">
        <v>0.08</v>
      </c>
      <c r="P18">
        <v>0</v>
      </c>
      <c r="Q18">
        <v>0.07</v>
      </c>
      <c r="R18">
        <v>0</v>
      </c>
      <c r="S18">
        <v>0.07</v>
      </c>
      <c r="T18">
        <v>0</v>
      </c>
      <c r="U18">
        <v>0.08</v>
      </c>
      <c r="V18">
        <v>0</v>
      </c>
      <c r="W18">
        <v>0.08</v>
      </c>
      <c r="X18">
        <v>0</v>
      </c>
      <c r="Y18">
        <v>0.09</v>
      </c>
      <c r="Z18">
        <v>0</v>
      </c>
      <c r="AA18">
        <v>0.07</v>
      </c>
      <c r="AB18">
        <v>0</v>
      </c>
      <c r="AC18">
        <v>0.08</v>
      </c>
      <c r="AD18">
        <v>0</v>
      </c>
      <c r="AE18">
        <v>0.08</v>
      </c>
      <c r="AF18">
        <v>0</v>
      </c>
      <c r="AG18">
        <v>0.08</v>
      </c>
      <c r="AH18">
        <v>1</v>
      </c>
      <c r="AI18">
        <v>0.08</v>
      </c>
      <c r="AJ18">
        <v>0</v>
      </c>
      <c r="AK18">
        <v>0.1</v>
      </c>
      <c r="AL18">
        <v>0</v>
      </c>
      <c r="AM18">
        <v>0.08</v>
      </c>
      <c r="AN18">
        <v>0</v>
      </c>
      <c r="AO18">
        <v>0.07</v>
      </c>
      <c r="AP18">
        <v>0</v>
      </c>
      <c r="AQ18">
        <v>0.07</v>
      </c>
      <c r="AR18">
        <v>0</v>
      </c>
      <c r="AS18">
        <v>0.09</v>
      </c>
      <c r="AT18">
        <v>0</v>
      </c>
      <c r="AU18">
        <v>0.08</v>
      </c>
      <c r="AV18">
        <v>0</v>
      </c>
      <c r="AW18">
        <v>0.07</v>
      </c>
      <c r="AX18">
        <v>0</v>
      </c>
      <c r="AY18">
        <v>0.07</v>
      </c>
      <c r="AZ18">
        <v>0</v>
      </c>
      <c r="BA18">
        <v>0.08</v>
      </c>
      <c r="BB18">
        <v>1</v>
      </c>
      <c r="BC18">
        <v>0.08</v>
      </c>
      <c r="BD18">
        <v>0</v>
      </c>
      <c r="BE18">
        <v>0.08</v>
      </c>
      <c r="BF18">
        <v>0</v>
      </c>
    </row>
    <row r="19" spans="1:58" x14ac:dyDescent="0.25">
      <c r="A19" t="s">
        <v>140</v>
      </c>
      <c r="B19">
        <f>HYPERLINK("#"&amp;CELL("address",OFFSET(Analítico!$B$1,MATCH(88828,Analítico!$B:$B,0)-1,3)),88828)</f>
      </c>
      <c r="C19" t="s">
        <v>143</v>
      </c>
      <c r="D19" t="s">
        <v>83</v>
      </c>
      <c r="E19">
        <v>0.4</v>
      </c>
      <c r="F19">
        <v>0</v>
      </c>
      <c r="G19">
        <v>0.33</v>
      </c>
      <c r="H19">
        <v>0</v>
      </c>
      <c r="I19">
        <v>0.36</v>
      </c>
      <c r="J19">
        <v>0</v>
      </c>
      <c r="K19">
        <v>0.41</v>
      </c>
      <c r="L19">
        <v>0</v>
      </c>
      <c r="M19">
        <v>0.39</v>
      </c>
      <c r="N19">
        <v>0</v>
      </c>
      <c r="O19">
        <v>0.4</v>
      </c>
      <c r="P19">
        <v>0</v>
      </c>
      <c r="Q19">
        <v>0.36</v>
      </c>
      <c r="R19">
        <v>0</v>
      </c>
      <c r="S19">
        <v>0.36</v>
      </c>
      <c r="T19">
        <v>0</v>
      </c>
      <c r="U19">
        <v>0.4</v>
      </c>
      <c r="V19">
        <v>0</v>
      </c>
      <c r="W19">
        <v>0.42</v>
      </c>
      <c r="X19">
        <v>0</v>
      </c>
      <c r="Y19">
        <v>0.45</v>
      </c>
      <c r="Z19">
        <v>0</v>
      </c>
      <c r="AA19">
        <v>0.34</v>
      </c>
      <c r="AB19">
        <v>0</v>
      </c>
      <c r="AC19">
        <v>0.4</v>
      </c>
      <c r="AD19">
        <v>0</v>
      </c>
      <c r="AE19">
        <v>0.41</v>
      </c>
      <c r="AF19">
        <v>0</v>
      </c>
      <c r="AG19">
        <v>0.39</v>
      </c>
      <c r="AH19">
        <v>1</v>
      </c>
      <c r="AI19">
        <v>0.38</v>
      </c>
      <c r="AJ19">
        <v>0</v>
      </c>
      <c r="AK19">
        <v>0.48</v>
      </c>
      <c r="AL19">
        <v>0</v>
      </c>
      <c r="AM19">
        <v>0.38</v>
      </c>
      <c r="AN19">
        <v>0</v>
      </c>
      <c r="AO19">
        <v>0.37</v>
      </c>
      <c r="AP19">
        <v>0</v>
      </c>
      <c r="AQ19">
        <v>0.36</v>
      </c>
      <c r="AR19">
        <v>0</v>
      </c>
      <c r="AS19">
        <v>0.43</v>
      </c>
      <c r="AT19">
        <v>0</v>
      </c>
      <c r="AU19">
        <v>0.38</v>
      </c>
      <c r="AV19">
        <v>0</v>
      </c>
      <c r="AW19">
        <v>0.33</v>
      </c>
      <c r="AX19">
        <v>0</v>
      </c>
      <c r="AY19">
        <v>0.37</v>
      </c>
      <c r="AZ19">
        <v>0</v>
      </c>
      <c r="BA19">
        <v>0.39</v>
      </c>
      <c r="BB19">
        <v>1</v>
      </c>
      <c r="BC19">
        <v>0.39</v>
      </c>
      <c r="BD19">
        <v>0</v>
      </c>
      <c r="BE19">
        <v>0.39</v>
      </c>
      <c r="BF19">
        <v>0</v>
      </c>
    </row>
    <row r="20" spans="1:58" x14ac:dyDescent="0.25">
      <c r="A20" t="s">
        <v>140</v>
      </c>
      <c r="B20">
        <f>HYPERLINK("#"&amp;CELL("address",OFFSET(Analítico!$B$1,MATCH(88829,Analítico!$B:$B,0)-1,3)),88829)</f>
      </c>
      <c r="C20" t="s">
        <v>144</v>
      </c>
      <c r="D20" t="s">
        <v>83</v>
      </c>
      <c r="E20">
        <v>1.62</v>
      </c>
      <c r="F20">
        <v>0</v>
      </c>
      <c r="G20">
        <v>1.38</v>
      </c>
      <c r="H20">
        <v>0</v>
      </c>
      <c r="I20">
        <v>1.22</v>
      </c>
      <c r="J20">
        <v>0</v>
      </c>
      <c r="K20">
        <v>1.33</v>
      </c>
      <c r="L20">
        <v>0</v>
      </c>
      <c r="M20">
        <v>1.42</v>
      </c>
      <c r="N20">
        <v>0</v>
      </c>
      <c r="O20">
        <v>1.23</v>
      </c>
      <c r="P20">
        <v>0</v>
      </c>
      <c r="Q20">
        <v>1</v>
      </c>
      <c r="R20">
        <v>0</v>
      </c>
      <c r="S20">
        <v>1.26</v>
      </c>
      <c r="T20">
        <v>0</v>
      </c>
      <c r="U20">
        <v>1.47</v>
      </c>
      <c r="V20">
        <v>0</v>
      </c>
      <c r="W20">
        <v>1.36</v>
      </c>
      <c r="X20">
        <v>0</v>
      </c>
      <c r="Y20">
        <v>1.45</v>
      </c>
      <c r="Z20">
        <v>0</v>
      </c>
      <c r="AA20">
        <v>1.6</v>
      </c>
      <c r="AB20">
        <v>0</v>
      </c>
      <c r="AC20">
        <v>1.46</v>
      </c>
      <c r="AD20">
        <v>0</v>
      </c>
      <c r="AE20">
        <v>1.52</v>
      </c>
      <c r="AF20">
        <v>0</v>
      </c>
      <c r="AG20">
        <v>1.07</v>
      </c>
      <c r="AH20">
        <v>0</v>
      </c>
      <c r="AI20">
        <v>1.28</v>
      </c>
      <c r="AJ20">
        <v>0</v>
      </c>
      <c r="AK20">
        <v>1.37</v>
      </c>
      <c r="AL20">
        <v>0</v>
      </c>
      <c r="AM20">
        <v>1.06</v>
      </c>
      <c r="AN20">
        <v>0</v>
      </c>
      <c r="AO20">
        <v>1.61</v>
      </c>
      <c r="AP20">
        <v>0</v>
      </c>
      <c r="AQ20">
        <v>1.26</v>
      </c>
      <c r="AR20">
        <v>0</v>
      </c>
      <c r="AS20">
        <v>2</v>
      </c>
      <c r="AT20">
        <v>0</v>
      </c>
      <c r="AU20">
        <v>1.23</v>
      </c>
      <c r="AV20">
        <v>0</v>
      </c>
      <c r="AW20">
        <v>1.4</v>
      </c>
      <c r="AX20">
        <v>0</v>
      </c>
      <c r="AY20">
        <v>1.11</v>
      </c>
      <c r="AZ20">
        <v>0</v>
      </c>
      <c r="BA20">
        <v>1.25</v>
      </c>
      <c r="BB20">
        <v>0</v>
      </c>
      <c r="BC20">
        <v>1.08</v>
      </c>
      <c r="BD20">
        <v>0</v>
      </c>
      <c r="BE20">
        <v>1.68</v>
      </c>
      <c r="BF20">
        <v>0</v>
      </c>
    </row>
    <row r="21" spans="1:58" x14ac:dyDescent="0.25">
      <c r="A21" t="s">
        <v>145</v>
      </c>
      <c r="B21">
        <f>HYPERLINK("#"&amp;CELL("address",OFFSET(Analítico!$B$1,MATCH(95389,Analítico!$B:$B,0)-1,3)),95389)</f>
      </c>
      <c r="C21" t="s">
        <v>146</v>
      </c>
      <c r="D21" t="s">
        <v>83</v>
      </c>
      <c r="E21">
        <v>0.06</v>
      </c>
      <c r="F21">
        <v>0</v>
      </c>
      <c r="G21">
        <v>0.05</v>
      </c>
      <c r="H21">
        <v>0</v>
      </c>
      <c r="I21">
        <v>0.09</v>
      </c>
      <c r="J21">
        <v>0</v>
      </c>
      <c r="K21">
        <v>0.05</v>
      </c>
      <c r="L21">
        <v>0</v>
      </c>
      <c r="M21">
        <v>0.13</v>
      </c>
      <c r="N21">
        <v>0</v>
      </c>
      <c r="O21">
        <v>0.08</v>
      </c>
      <c r="P21">
        <v>0</v>
      </c>
      <c r="Q21">
        <v>0.07</v>
      </c>
      <c r="R21">
        <v>0</v>
      </c>
      <c r="S21">
        <v>0.09</v>
      </c>
      <c r="T21">
        <v>0</v>
      </c>
      <c r="U21">
        <v>0.05</v>
      </c>
      <c r="V21">
        <v>0</v>
      </c>
      <c r="W21">
        <v>0.1</v>
      </c>
      <c r="X21">
        <v>0</v>
      </c>
      <c r="Y21">
        <v>0.09</v>
      </c>
      <c r="Z21">
        <v>0</v>
      </c>
      <c r="AA21">
        <v>0.08</v>
      </c>
      <c r="AB21">
        <v>0</v>
      </c>
      <c r="AC21">
        <v>0.06</v>
      </c>
      <c r="AD21">
        <v>0</v>
      </c>
      <c r="AE21">
        <v>0.07</v>
      </c>
      <c r="AF21">
        <v>0</v>
      </c>
      <c r="AG21">
        <v>0.06</v>
      </c>
      <c r="AH21">
        <v>0</v>
      </c>
      <c r="AI21">
        <v>0.06</v>
      </c>
      <c r="AJ21">
        <v>0</v>
      </c>
      <c r="AK21">
        <v>0.08</v>
      </c>
      <c r="AL21">
        <v>0</v>
      </c>
      <c r="AM21">
        <v>0.1</v>
      </c>
      <c r="AN21">
        <v>0</v>
      </c>
      <c r="AO21">
        <v>0.09</v>
      </c>
      <c r="AP21">
        <v>0</v>
      </c>
      <c r="AQ21">
        <v>0.08</v>
      </c>
      <c r="AR21">
        <v>0</v>
      </c>
      <c r="AS21">
        <v>0.07</v>
      </c>
      <c r="AT21">
        <v>0</v>
      </c>
      <c r="AU21">
        <v>0.06</v>
      </c>
      <c r="AV21">
        <v>0</v>
      </c>
      <c r="AW21">
        <v>0.1</v>
      </c>
      <c r="AX21">
        <v>0</v>
      </c>
      <c r="AY21">
        <v>0.12</v>
      </c>
      <c r="AZ21">
        <v>0</v>
      </c>
      <c r="BA21">
        <v>0.08</v>
      </c>
      <c r="BB21">
        <v>0</v>
      </c>
      <c r="BC21">
        <v>0.1</v>
      </c>
      <c r="BD21">
        <v>0</v>
      </c>
      <c r="BE21">
        <v>0.06</v>
      </c>
      <c r="BF21">
        <v>0</v>
      </c>
    </row>
    <row r="22" spans="1:58" x14ac:dyDescent="0.25">
      <c r="A22" t="s">
        <v>145</v>
      </c>
      <c r="B22">
        <f>HYPERLINK("#"&amp;CELL("address",OFFSET(Analítico!$B$1,MATCH(95371,Analítico!$B:$B,0)-1,3)),95371)</f>
      </c>
      <c r="C22" t="s">
        <v>147</v>
      </c>
      <c r="D22" t="s">
        <v>83</v>
      </c>
      <c r="E22">
        <v>0.25</v>
      </c>
      <c r="F22">
        <v>0</v>
      </c>
      <c r="G22">
        <v>0.19</v>
      </c>
      <c r="H22">
        <v>0</v>
      </c>
      <c r="I22">
        <v>0.22</v>
      </c>
      <c r="J22">
        <v>0</v>
      </c>
      <c r="K22">
        <v>0.22</v>
      </c>
      <c r="L22">
        <v>0</v>
      </c>
      <c r="M22">
        <v>0.25</v>
      </c>
      <c r="N22">
        <v>0</v>
      </c>
      <c r="O22">
        <v>0.22</v>
      </c>
      <c r="P22">
        <v>0</v>
      </c>
      <c r="Q22">
        <v>0.24</v>
      </c>
      <c r="R22">
        <v>0</v>
      </c>
      <c r="S22">
        <v>0.23</v>
      </c>
      <c r="T22">
        <v>0</v>
      </c>
      <c r="U22">
        <v>0.25</v>
      </c>
      <c r="V22">
        <v>0</v>
      </c>
      <c r="W22">
        <v>0.22</v>
      </c>
      <c r="X22">
        <v>0</v>
      </c>
      <c r="Y22">
        <v>0.25</v>
      </c>
      <c r="Z22">
        <v>0</v>
      </c>
      <c r="AA22">
        <v>0.22</v>
      </c>
      <c r="AB22">
        <v>0</v>
      </c>
      <c r="AC22">
        <v>0.23</v>
      </c>
      <c r="AD22">
        <v>0</v>
      </c>
      <c r="AE22">
        <v>0.21</v>
      </c>
      <c r="AF22">
        <v>0</v>
      </c>
      <c r="AG22">
        <v>0.22</v>
      </c>
      <c r="AH22">
        <v>0</v>
      </c>
      <c r="AI22">
        <v>0.23</v>
      </c>
      <c r="AJ22">
        <v>0</v>
      </c>
      <c r="AK22">
        <v>0.21</v>
      </c>
      <c r="AL22">
        <v>0</v>
      </c>
      <c r="AM22">
        <v>0.3</v>
      </c>
      <c r="AN22">
        <v>0</v>
      </c>
      <c r="AO22">
        <v>0.29</v>
      </c>
      <c r="AP22">
        <v>0</v>
      </c>
      <c r="AQ22">
        <v>0.19</v>
      </c>
      <c r="AR22">
        <v>0</v>
      </c>
      <c r="AS22">
        <v>0.23</v>
      </c>
      <c r="AT22">
        <v>0</v>
      </c>
      <c r="AU22">
        <v>0.25</v>
      </c>
      <c r="AV22">
        <v>0</v>
      </c>
      <c r="AW22">
        <v>0.23</v>
      </c>
      <c r="AX22">
        <v>0</v>
      </c>
      <c r="AY22">
        <v>0.32</v>
      </c>
      <c r="AZ22">
        <v>0</v>
      </c>
      <c r="BA22">
        <v>0.21</v>
      </c>
      <c r="BB22">
        <v>0</v>
      </c>
      <c r="BC22">
        <v>0.27</v>
      </c>
      <c r="BD22">
        <v>0</v>
      </c>
      <c r="BE22">
        <v>0.2</v>
      </c>
      <c r="BF22">
        <v>0</v>
      </c>
    </row>
    <row r="23" spans="1:58" x14ac:dyDescent="0.25">
      <c r="A23" t="s">
        <v>145</v>
      </c>
      <c r="B23">
        <f>HYPERLINK("#"&amp;CELL("address",OFFSET(Analítico!$B$1,MATCH(95378,Analítico!$B:$B,0)-1,3)),95378)</f>
      </c>
      <c r="C23" t="s">
        <v>148</v>
      </c>
      <c r="D23" t="s">
        <v>83</v>
      </c>
      <c r="E23">
        <v>0.17</v>
      </c>
      <c r="F23">
        <v>0</v>
      </c>
      <c r="G23">
        <v>0.15</v>
      </c>
      <c r="H23">
        <v>0</v>
      </c>
      <c r="I23">
        <v>0.16</v>
      </c>
      <c r="J23">
        <v>0</v>
      </c>
      <c r="K23">
        <v>0.15</v>
      </c>
      <c r="L23">
        <v>0</v>
      </c>
      <c r="M23">
        <v>0.15</v>
      </c>
      <c r="N23">
        <v>0</v>
      </c>
      <c r="O23">
        <v>0.15</v>
      </c>
      <c r="P23">
        <v>0</v>
      </c>
      <c r="Q23">
        <v>0.16</v>
      </c>
      <c r="R23">
        <v>0</v>
      </c>
      <c r="S23">
        <v>0.17</v>
      </c>
      <c r="T23">
        <v>0</v>
      </c>
      <c r="U23">
        <v>0.15</v>
      </c>
      <c r="V23">
        <v>0</v>
      </c>
      <c r="W23">
        <v>0.15</v>
      </c>
      <c r="X23">
        <v>0</v>
      </c>
      <c r="Y23">
        <v>0.17</v>
      </c>
      <c r="Z23">
        <v>0</v>
      </c>
      <c r="AA23">
        <v>0.16</v>
      </c>
      <c r="AB23">
        <v>0</v>
      </c>
      <c r="AC23">
        <v>0.17</v>
      </c>
      <c r="AD23">
        <v>0</v>
      </c>
      <c r="AE23">
        <v>0.15</v>
      </c>
      <c r="AF23">
        <v>0</v>
      </c>
      <c r="AG23">
        <v>0.16</v>
      </c>
      <c r="AH23">
        <v>0</v>
      </c>
      <c r="AI23">
        <v>0.17</v>
      </c>
      <c r="AJ23">
        <v>0</v>
      </c>
      <c r="AK23">
        <v>0.15</v>
      </c>
      <c r="AL23">
        <v>0</v>
      </c>
      <c r="AM23">
        <v>0.21</v>
      </c>
      <c r="AN23">
        <v>0</v>
      </c>
      <c r="AO23">
        <v>0.22</v>
      </c>
      <c r="AP23">
        <v>0</v>
      </c>
      <c r="AQ23">
        <v>0.15</v>
      </c>
      <c r="AR23">
        <v>0</v>
      </c>
      <c r="AS23">
        <v>0.19</v>
      </c>
      <c r="AT23">
        <v>0</v>
      </c>
      <c r="AU23">
        <v>0.15</v>
      </c>
      <c r="AV23">
        <v>0</v>
      </c>
      <c r="AW23">
        <v>0.18</v>
      </c>
      <c r="AX23">
        <v>0</v>
      </c>
      <c r="AY23">
        <v>0.22</v>
      </c>
      <c r="AZ23">
        <v>0</v>
      </c>
      <c r="BA23">
        <v>0.15</v>
      </c>
      <c r="BB23">
        <v>0</v>
      </c>
      <c r="BC23">
        <v>0.22</v>
      </c>
      <c r="BD23">
        <v>0</v>
      </c>
      <c r="BE23">
        <v>0.15</v>
      </c>
      <c r="BF23">
        <v>0</v>
      </c>
    </row>
    <row r="24" spans="1:58" x14ac:dyDescent="0.25">
      <c r="A24" t="s">
        <v>145</v>
      </c>
      <c r="B24">
        <f>HYPERLINK("#"&amp;CELL("address",OFFSET(Analítico!$B$1,MATCH(88377,Analítico!$B:$B,0)-1,3)),88377)</f>
      </c>
      <c r="C24" t="s">
        <v>149</v>
      </c>
      <c r="D24" t="s">
        <v>83</v>
      </c>
      <c r="E24">
        <v>14.44</v>
      </c>
      <c r="F24">
        <v>0</v>
      </c>
      <c r="G24">
        <v>12.85</v>
      </c>
      <c r="H24">
        <v>0</v>
      </c>
      <c r="I24">
        <v>21.66</v>
      </c>
      <c r="J24">
        <v>0</v>
      </c>
      <c r="K24">
        <v>10.63</v>
      </c>
      <c r="L24">
        <v>0</v>
      </c>
      <c r="M24">
        <v>25.31</v>
      </c>
      <c r="N24">
        <v>0</v>
      </c>
      <c r="O24">
        <v>18.43</v>
      </c>
      <c r="P24">
        <v>0</v>
      </c>
      <c r="Q24">
        <v>17.62</v>
      </c>
      <c r="R24">
        <v>0</v>
      </c>
      <c r="S24">
        <v>22.12</v>
      </c>
      <c r="T24">
        <v>0</v>
      </c>
      <c r="U24">
        <v>13.82</v>
      </c>
      <c r="V24">
        <v>0</v>
      </c>
      <c r="W24">
        <v>17.77</v>
      </c>
      <c r="X24">
        <v>0</v>
      </c>
      <c r="Y24">
        <v>17.09</v>
      </c>
      <c r="Z24">
        <v>0</v>
      </c>
      <c r="AA24">
        <v>16.16</v>
      </c>
      <c r="AB24">
        <v>0</v>
      </c>
      <c r="AC24">
        <v>14.89</v>
      </c>
      <c r="AD24">
        <v>0</v>
      </c>
      <c r="AE24">
        <v>18.57</v>
      </c>
      <c r="AF24">
        <v>0</v>
      </c>
      <c r="AG24">
        <v>12.93</v>
      </c>
      <c r="AH24">
        <v>0</v>
      </c>
      <c r="AI24">
        <v>14.06</v>
      </c>
      <c r="AJ24">
        <v>0</v>
      </c>
      <c r="AK24">
        <v>16.53</v>
      </c>
      <c r="AL24">
        <v>0</v>
      </c>
      <c r="AM24">
        <v>22.59</v>
      </c>
      <c r="AN24">
        <v>0</v>
      </c>
      <c r="AO24">
        <v>20.79</v>
      </c>
      <c r="AP24">
        <v>0</v>
      </c>
      <c r="AQ24">
        <v>17.85</v>
      </c>
      <c r="AR24">
        <v>0</v>
      </c>
      <c r="AS24">
        <v>15.99</v>
      </c>
      <c r="AT24">
        <v>0</v>
      </c>
      <c r="AU24">
        <v>14.74</v>
      </c>
      <c r="AV24">
        <v>0</v>
      </c>
      <c r="AW24">
        <v>17.86</v>
      </c>
      <c r="AX24">
        <v>0</v>
      </c>
      <c r="AY24">
        <v>19.48</v>
      </c>
      <c r="AZ24">
        <v>0</v>
      </c>
      <c r="BA24">
        <v>15.8</v>
      </c>
      <c r="BB24">
        <v>0</v>
      </c>
      <c r="BC24">
        <v>20.55</v>
      </c>
      <c r="BD24">
        <v>0</v>
      </c>
      <c r="BE24">
        <v>13.41</v>
      </c>
      <c r="BF24">
        <v>0</v>
      </c>
    </row>
    <row r="25" spans="1:58" x14ac:dyDescent="0.25">
      <c r="A25" t="s">
        <v>145</v>
      </c>
      <c r="B25">
        <f>HYPERLINK("#"&amp;CELL("address",OFFSET(Analítico!$B$1,MATCH(88309,Analítico!$B:$B,0)-1,3)),88309)</f>
      </c>
      <c r="C25" t="s">
        <v>150</v>
      </c>
      <c r="D25" t="s">
        <v>83</v>
      </c>
      <c r="E25">
        <v>19.42</v>
      </c>
      <c r="F25">
        <v>0</v>
      </c>
      <c r="G25">
        <v>16.29</v>
      </c>
      <c r="H25">
        <v>0</v>
      </c>
      <c r="I25">
        <v>21.68</v>
      </c>
      <c r="J25">
        <v>0</v>
      </c>
      <c r="K25">
        <v>15.36</v>
      </c>
      <c r="L25">
        <v>0</v>
      </c>
      <c r="M25">
        <v>21.56</v>
      </c>
      <c r="N25">
        <v>0</v>
      </c>
      <c r="O25">
        <v>19.98</v>
      </c>
      <c r="P25">
        <v>0</v>
      </c>
      <c r="Q25">
        <v>20.96</v>
      </c>
      <c r="R25">
        <v>0</v>
      </c>
      <c r="S25">
        <v>23.12</v>
      </c>
      <c r="T25">
        <v>0</v>
      </c>
      <c r="U25">
        <v>20.1</v>
      </c>
      <c r="V25">
        <v>0</v>
      </c>
      <c r="W25">
        <v>16.89</v>
      </c>
      <c r="X25">
        <v>0</v>
      </c>
      <c r="Y25">
        <v>19.43</v>
      </c>
      <c r="Z25">
        <v>0</v>
      </c>
      <c r="AA25">
        <v>17.42</v>
      </c>
      <c r="AB25">
        <v>0</v>
      </c>
      <c r="AC25">
        <v>18.87</v>
      </c>
      <c r="AD25">
        <v>0</v>
      </c>
      <c r="AE25">
        <v>20.57</v>
      </c>
      <c r="AF25">
        <v>0</v>
      </c>
      <c r="AG25">
        <v>17.27</v>
      </c>
      <c r="AH25">
        <v>0</v>
      </c>
      <c r="AI25">
        <v>18.15</v>
      </c>
      <c r="AJ25">
        <v>0</v>
      </c>
      <c r="AK25">
        <v>17.62</v>
      </c>
      <c r="AL25">
        <v>0</v>
      </c>
      <c r="AM25">
        <v>25.19</v>
      </c>
      <c r="AN25">
        <v>0</v>
      </c>
      <c r="AO25">
        <v>24.44</v>
      </c>
      <c r="AP25">
        <v>0</v>
      </c>
      <c r="AQ25">
        <v>18.67</v>
      </c>
      <c r="AR25">
        <v>0</v>
      </c>
      <c r="AS25">
        <v>19.03</v>
      </c>
      <c r="AT25">
        <v>0</v>
      </c>
      <c r="AU25">
        <v>20.36</v>
      </c>
      <c r="AV25">
        <v>0</v>
      </c>
      <c r="AW25">
        <v>18.18</v>
      </c>
      <c r="AX25">
        <v>0</v>
      </c>
      <c r="AY25">
        <v>20.45</v>
      </c>
      <c r="AZ25">
        <v>0</v>
      </c>
      <c r="BA25">
        <v>17.35</v>
      </c>
      <c r="BB25">
        <v>0</v>
      </c>
      <c r="BC25">
        <v>22.3</v>
      </c>
      <c r="BD25">
        <v>0</v>
      </c>
      <c r="BE25">
        <v>17.32</v>
      </c>
      <c r="BF25">
        <v>0</v>
      </c>
    </row>
    <row r="26" spans="1:58" x14ac:dyDescent="0.25">
      <c r="A26" t="s">
        <v>145</v>
      </c>
      <c r="B26">
        <f>HYPERLINK("#"&amp;CELL("address",OFFSET(Analítico!$B$1,MATCH(88316,Analítico!$B:$B,0)-1,3)),88316)</f>
      </c>
      <c r="C26" t="s">
        <v>151</v>
      </c>
      <c r="D26" t="s">
        <v>83</v>
      </c>
      <c r="E26">
        <v>15.58</v>
      </c>
      <c r="F26">
        <v>0</v>
      </c>
      <c r="G26">
        <v>14.19</v>
      </c>
      <c r="H26">
        <v>0</v>
      </c>
      <c r="I26">
        <v>18.88</v>
      </c>
      <c r="J26">
        <v>0</v>
      </c>
      <c r="K26">
        <v>12.46</v>
      </c>
      <c r="L26">
        <v>0</v>
      </c>
      <c r="M26">
        <v>17.1</v>
      </c>
      <c r="N26">
        <v>0</v>
      </c>
      <c r="O26">
        <v>16.59</v>
      </c>
      <c r="P26">
        <v>0</v>
      </c>
      <c r="Q26">
        <v>17.19</v>
      </c>
      <c r="R26">
        <v>0</v>
      </c>
      <c r="S26">
        <v>20.29</v>
      </c>
      <c r="T26">
        <v>0</v>
      </c>
      <c r="U26">
        <v>15.25</v>
      </c>
      <c r="V26">
        <v>0</v>
      </c>
      <c r="W26">
        <v>13.82</v>
      </c>
      <c r="X26">
        <v>0</v>
      </c>
      <c r="Y26">
        <v>15.36</v>
      </c>
      <c r="Z26">
        <v>0</v>
      </c>
      <c r="AA26">
        <v>14.47</v>
      </c>
      <c r="AB26">
        <v>0</v>
      </c>
      <c r="AC26">
        <v>15.98</v>
      </c>
      <c r="AD26">
        <v>0</v>
      </c>
      <c r="AE26">
        <v>17.89</v>
      </c>
      <c r="AF26">
        <v>0</v>
      </c>
      <c r="AG26">
        <v>14.54</v>
      </c>
      <c r="AH26">
        <v>0</v>
      </c>
      <c r="AI26">
        <v>15.35</v>
      </c>
      <c r="AJ26">
        <v>0</v>
      </c>
      <c r="AK26">
        <v>15</v>
      </c>
      <c r="AL26">
        <v>0</v>
      </c>
      <c r="AM26">
        <v>20.81</v>
      </c>
      <c r="AN26">
        <v>0</v>
      </c>
      <c r="AO26">
        <v>21.14</v>
      </c>
      <c r="AP26">
        <v>0</v>
      </c>
      <c r="AQ26">
        <v>16.88</v>
      </c>
      <c r="AR26">
        <v>0</v>
      </c>
      <c r="AS26">
        <v>16.89</v>
      </c>
      <c r="AT26">
        <v>0</v>
      </c>
      <c r="AU26">
        <v>15.88</v>
      </c>
      <c r="AV26">
        <v>0</v>
      </c>
      <c r="AW26">
        <v>15.65</v>
      </c>
      <c r="AX26">
        <v>0</v>
      </c>
      <c r="AY26">
        <v>15.73</v>
      </c>
      <c r="AZ26">
        <v>0</v>
      </c>
      <c r="BA26">
        <v>14.44</v>
      </c>
      <c r="BB26">
        <v>0</v>
      </c>
      <c r="BC26">
        <v>19.89</v>
      </c>
      <c r="BD26">
        <v>0</v>
      </c>
      <c r="BE26">
        <v>14.67</v>
      </c>
      <c r="BF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FormatPr defaultRowHeight="15" outlineLevelRow="0" outlineLevelCol="0" x14ac:dyDescent="55"/>
  <sheetData>
    <row r="1" spans="1:1" x14ac:dyDescent="0.25">
      <c r="A1" t="s">
        <v>5</v>
      </c>
    </row>
    <row r="2" spans="1:1" x14ac:dyDescent="0.25">
      <c r="A2" t="s">
        <v>154</v>
      </c>
    </row>
    <row r="3" spans="1:4" x14ac:dyDescent="0.25">
      <c r="A3" t="s">
        <v>7</v>
      </c>
      <c r="B3" t="s">
        <v>8</v>
      </c>
      <c r="D3" t="s">
        <v>155</v>
      </c>
    </row>
    <row r="4" spans="1:5" x14ac:dyDescent="0.25">
      <c r="A4" t="s">
        <v>10</v>
      </c>
      <c r="B4" t="s">
        <v>11</v>
      </c>
      <c r="D4" t="s">
        <v>156</v>
      </c>
      <c r="E4" t="s">
        <v>157</v>
      </c>
    </row>
    <row r="5" spans="4:5" x14ac:dyDescent="0.25">
      <c r="D5" t="s">
        <v>158</v>
      </c>
      <c r="E5" t="s">
        <v>159</v>
      </c>
    </row>
    <row r="6" spans="4:5" x14ac:dyDescent="0.25">
      <c r="D6" t="s">
        <v>160</v>
      </c>
      <c r="E6" t="s">
        <v>161</v>
      </c>
    </row>
    <row r="7" spans="4:5" x14ac:dyDescent="0.25">
      <c r="D7" t="s">
        <v>162</v>
      </c>
      <c r="E7" t="s">
        <v>163</v>
      </c>
    </row>
    <row r="8" spans="4:5" x14ac:dyDescent="0.25">
      <c r="D8" t="s">
        <v>164</v>
      </c>
      <c r="E8" t="s">
        <v>165</v>
      </c>
    </row>
    <row r="10" spans="1:8" x14ac:dyDescent="0.25">
      <c r="A10" t="s">
        <v>123</v>
      </c>
      <c r="B10" t="s">
        <v>124</v>
      </c>
      <c r="C10" t="s">
        <v>166</v>
      </c>
      <c r="D10" t="s">
        <v>167</v>
      </c>
      <c r="E10" t="s">
        <v>125</v>
      </c>
      <c r="F10" t="s">
        <v>79</v>
      </c>
      <c r="G10" t="s">
        <v>168</v>
      </c>
      <c r="H10" t="s">
        <v>169</v>
      </c>
    </row>
    <row r="11" spans="1:8" x14ac:dyDescent="0.25">
      <c r="A11" t="s">
        <v>128</v>
      </c>
      <c r="B11">
        <v>104658</v>
      </c>
      <c r="E11" t="s">
        <v>129</v>
      </c>
      <c r="F11" t="s">
        <v>130</v>
      </c>
      <c r="H11" t="s">
        <v>160</v>
      </c>
    </row>
    <row r="12" spans="1:8" x14ac:dyDescent="0.25">
      <c r="A12" t="s">
        <v>128</v>
      </c>
      <c r="B12">
        <v>104658</v>
      </c>
      <c r="C12" t="s">
        <v>170</v>
      </c>
      <c r="D12">
        <v>88316</v>
      </c>
      <c r="E12" t="s">
        <v>151</v>
      </c>
      <c r="F12" t="s">
        <v>83</v>
      </c>
      <c r="G12">
        <v>1.279</v>
      </c>
      <c r="H12" t="s">
        <v>160</v>
      </c>
    </row>
    <row r="13" spans="1:8" x14ac:dyDescent="0.25">
      <c r="A13" t="s">
        <v>128</v>
      </c>
      <c r="B13">
        <v>104658</v>
      </c>
      <c r="C13" t="s">
        <v>170</v>
      </c>
      <c r="D13">
        <v>88309</v>
      </c>
      <c r="E13" t="s">
        <v>150</v>
      </c>
      <c r="F13" t="s">
        <v>83</v>
      </c>
      <c r="G13">
        <v>0.639</v>
      </c>
      <c r="H13" t="s">
        <v>160</v>
      </c>
    </row>
    <row r="14" spans="1:8" x14ac:dyDescent="0.25">
      <c r="A14" t="s">
        <v>128</v>
      </c>
      <c r="B14">
        <v>104658</v>
      </c>
      <c r="C14" t="s">
        <v>171</v>
      </c>
      <c r="D14">
        <v>36178</v>
      </c>
      <c r="E14" t="s">
        <v>109</v>
      </c>
      <c r="F14" t="s">
        <v>93</v>
      </c>
      <c r="G14">
        <v>6.4375</v>
      </c>
      <c r="H14" t="s">
        <v>156</v>
      </c>
    </row>
    <row r="15" spans="1:8" x14ac:dyDescent="0.25">
      <c r="A15" t="s">
        <v>128</v>
      </c>
      <c r="B15">
        <v>104658</v>
      </c>
      <c r="C15" t="s">
        <v>171</v>
      </c>
      <c r="D15">
        <v>34357</v>
      </c>
      <c r="E15" t="s">
        <v>110</v>
      </c>
      <c r="F15" t="s">
        <v>90</v>
      </c>
      <c r="G15">
        <v>0.24</v>
      </c>
      <c r="H15" t="s">
        <v>156</v>
      </c>
    </row>
    <row r="16" spans="1:8" x14ac:dyDescent="0.25">
      <c r="A16" t="s">
        <v>128</v>
      </c>
      <c r="B16">
        <v>104658</v>
      </c>
      <c r="C16" t="s">
        <v>171</v>
      </c>
      <c r="D16">
        <v>34353</v>
      </c>
      <c r="E16" t="s">
        <v>89</v>
      </c>
      <c r="F16" t="s">
        <v>90</v>
      </c>
      <c r="G16">
        <v>8.62</v>
      </c>
      <c r="H16" t="s">
        <v>156</v>
      </c>
    </row>
    <row r="17" spans="1:8" x14ac:dyDescent="0.25">
      <c r="A17" t="s">
        <v>128</v>
      </c>
      <c r="B17">
        <v>105006</v>
      </c>
      <c r="E17" t="s">
        <v>131</v>
      </c>
      <c r="F17" t="s">
        <v>93</v>
      </c>
      <c r="H17" t="s">
        <v>162</v>
      </c>
    </row>
    <row r="18" spans="1:8" x14ac:dyDescent="0.25">
      <c r="A18" t="s">
        <v>128</v>
      </c>
      <c r="B18">
        <v>105006</v>
      </c>
      <c r="C18" t="s">
        <v>170</v>
      </c>
      <c r="D18">
        <v>88316</v>
      </c>
      <c r="E18" t="s">
        <v>151</v>
      </c>
      <c r="F18" t="s">
        <v>83</v>
      </c>
      <c r="G18">
        <v>2.189</v>
      </c>
      <c r="H18" t="s">
        <v>160</v>
      </c>
    </row>
    <row r="19" spans="1:8" x14ac:dyDescent="0.25">
      <c r="A19" t="s">
        <v>128</v>
      </c>
      <c r="B19">
        <v>105006</v>
      </c>
      <c r="C19" t="s">
        <v>170</v>
      </c>
      <c r="D19">
        <v>88309</v>
      </c>
      <c r="E19" t="s">
        <v>150</v>
      </c>
      <c r="F19" t="s">
        <v>83</v>
      </c>
      <c r="G19">
        <v>1.094</v>
      </c>
      <c r="H19" t="s">
        <v>160</v>
      </c>
    </row>
    <row r="20" spans="1:8" x14ac:dyDescent="0.25">
      <c r="A20" t="s">
        <v>128</v>
      </c>
      <c r="B20">
        <v>105006</v>
      </c>
      <c r="C20" t="s">
        <v>170</v>
      </c>
      <c r="D20">
        <v>87307</v>
      </c>
      <c r="E20" t="s">
        <v>134</v>
      </c>
      <c r="F20" t="s">
        <v>87</v>
      </c>
      <c r="G20">
        <v>0.131886</v>
      </c>
      <c r="H20" t="s">
        <v>160</v>
      </c>
    </row>
    <row r="21" spans="1:8" x14ac:dyDescent="0.25">
      <c r="A21" t="s">
        <v>128</v>
      </c>
      <c r="B21">
        <v>105006</v>
      </c>
      <c r="C21" t="s">
        <v>170</v>
      </c>
      <c r="D21">
        <v>87286</v>
      </c>
      <c r="E21" t="s">
        <v>133</v>
      </c>
      <c r="F21" t="s">
        <v>87</v>
      </c>
      <c r="G21">
        <v>0.0259413</v>
      </c>
      <c r="H21" t="s">
        <v>160</v>
      </c>
    </row>
    <row r="22" spans="1:8" x14ac:dyDescent="0.25">
      <c r="A22" t="s">
        <v>128</v>
      </c>
      <c r="B22">
        <v>105006</v>
      </c>
      <c r="C22" t="s">
        <v>171</v>
      </c>
      <c r="D22">
        <v>45087</v>
      </c>
      <c r="E22" t="s">
        <v>172</v>
      </c>
      <c r="F22" t="s">
        <v>93</v>
      </c>
      <c r="G22">
        <v>1</v>
      </c>
      <c r="H22" t="s">
        <v>158</v>
      </c>
    </row>
    <row r="23" spans="1:8" x14ac:dyDescent="0.25">
      <c r="A23" t="s">
        <v>132</v>
      </c>
      <c r="B23">
        <v>87286</v>
      </c>
      <c r="E23" t="s">
        <v>133</v>
      </c>
      <c r="F23" t="s">
        <v>87</v>
      </c>
      <c r="H23" t="s">
        <v>160</v>
      </c>
    </row>
    <row r="24" spans="1:8" x14ac:dyDescent="0.25">
      <c r="A24" t="s">
        <v>132</v>
      </c>
      <c r="B24">
        <v>87286</v>
      </c>
      <c r="C24" t="s">
        <v>170</v>
      </c>
      <c r="D24">
        <v>88831</v>
      </c>
      <c r="E24" t="s">
        <v>136</v>
      </c>
      <c r="F24" t="s">
        <v>137</v>
      </c>
      <c r="G24">
        <v>4.2379886</v>
      </c>
      <c r="H24" t="s">
        <v>160</v>
      </c>
    </row>
    <row r="25" spans="1:8" x14ac:dyDescent="0.25">
      <c r="A25" t="s">
        <v>132</v>
      </c>
      <c r="B25">
        <v>87286</v>
      </c>
      <c r="C25" t="s">
        <v>170</v>
      </c>
      <c r="D25">
        <v>88830</v>
      </c>
      <c r="E25" t="s">
        <v>138</v>
      </c>
      <c r="F25" t="s">
        <v>139</v>
      </c>
      <c r="G25">
        <v>1.2280099</v>
      </c>
      <c r="H25" t="s">
        <v>160</v>
      </c>
    </row>
    <row r="26" spans="1:8" x14ac:dyDescent="0.25">
      <c r="A26" t="s">
        <v>132</v>
      </c>
      <c r="B26">
        <v>87286</v>
      </c>
      <c r="C26" t="s">
        <v>170</v>
      </c>
      <c r="D26">
        <v>88377</v>
      </c>
      <c r="E26" t="s">
        <v>149</v>
      </c>
      <c r="F26" t="s">
        <v>83</v>
      </c>
      <c r="G26">
        <v>5.4659985</v>
      </c>
      <c r="H26" t="s">
        <v>160</v>
      </c>
    </row>
    <row r="27" spans="1:8" x14ac:dyDescent="0.25">
      <c r="A27" t="s">
        <v>132</v>
      </c>
      <c r="B27">
        <v>87286</v>
      </c>
      <c r="C27" t="s">
        <v>171</v>
      </c>
      <c r="D27">
        <v>1379</v>
      </c>
      <c r="E27" t="s">
        <v>95</v>
      </c>
      <c r="F27" t="s">
        <v>90</v>
      </c>
      <c r="G27">
        <v>258.6163591</v>
      </c>
      <c r="H27" t="s">
        <v>156</v>
      </c>
    </row>
    <row r="28" spans="1:8" x14ac:dyDescent="0.25">
      <c r="A28" t="s">
        <v>132</v>
      </c>
      <c r="B28">
        <v>87286</v>
      </c>
      <c r="C28" t="s">
        <v>171</v>
      </c>
      <c r="D28">
        <v>1106</v>
      </c>
      <c r="E28" t="s">
        <v>94</v>
      </c>
      <c r="F28" t="s">
        <v>90</v>
      </c>
      <c r="G28">
        <v>114.9406041</v>
      </c>
      <c r="H28" t="s">
        <v>156</v>
      </c>
    </row>
    <row r="29" spans="1:8" x14ac:dyDescent="0.25">
      <c r="A29" t="s">
        <v>132</v>
      </c>
      <c r="B29">
        <v>87286</v>
      </c>
      <c r="C29" t="s">
        <v>171</v>
      </c>
      <c r="D29">
        <v>370</v>
      </c>
      <c r="E29" t="s">
        <v>86</v>
      </c>
      <c r="F29" t="s">
        <v>87</v>
      </c>
      <c r="G29">
        <v>1.149406</v>
      </c>
      <c r="H29" t="s">
        <v>156</v>
      </c>
    </row>
    <row r="30" spans="1:8" x14ac:dyDescent="0.25">
      <c r="A30" t="s">
        <v>132</v>
      </c>
      <c r="B30">
        <v>87307</v>
      </c>
      <c r="E30" t="s">
        <v>134</v>
      </c>
      <c r="F30" t="s">
        <v>87</v>
      </c>
      <c r="H30" t="s">
        <v>160</v>
      </c>
    </row>
    <row r="31" spans="1:8" x14ac:dyDescent="0.25">
      <c r="A31" t="s">
        <v>132</v>
      </c>
      <c r="B31">
        <v>87307</v>
      </c>
      <c r="C31" t="s">
        <v>170</v>
      </c>
      <c r="D31">
        <v>88831</v>
      </c>
      <c r="E31" t="s">
        <v>136</v>
      </c>
      <c r="F31" t="s">
        <v>137</v>
      </c>
      <c r="G31">
        <v>3.9366651</v>
      </c>
      <c r="H31" t="s">
        <v>160</v>
      </c>
    </row>
    <row r="32" spans="1:8" x14ac:dyDescent="0.25">
      <c r="A32" t="s">
        <v>132</v>
      </c>
      <c r="B32">
        <v>87307</v>
      </c>
      <c r="C32" t="s">
        <v>170</v>
      </c>
      <c r="D32">
        <v>88830</v>
      </c>
      <c r="E32" t="s">
        <v>138</v>
      </c>
      <c r="F32" t="s">
        <v>139</v>
      </c>
      <c r="G32">
        <v>1.1406977</v>
      </c>
      <c r="H32" t="s">
        <v>160</v>
      </c>
    </row>
    <row r="33" spans="1:8" x14ac:dyDescent="0.25">
      <c r="A33" t="s">
        <v>132</v>
      </c>
      <c r="B33">
        <v>87307</v>
      </c>
      <c r="C33" t="s">
        <v>170</v>
      </c>
      <c r="D33">
        <v>88377</v>
      </c>
      <c r="E33" t="s">
        <v>149</v>
      </c>
      <c r="F33" t="s">
        <v>83</v>
      </c>
      <c r="G33">
        <v>5.0773627</v>
      </c>
      <c r="H33" t="s">
        <v>160</v>
      </c>
    </row>
    <row r="34" spans="1:8" x14ac:dyDescent="0.25">
      <c r="A34" t="s">
        <v>132</v>
      </c>
      <c r="B34">
        <v>87307</v>
      </c>
      <c r="C34" t="s">
        <v>171</v>
      </c>
      <c r="D34">
        <v>1379</v>
      </c>
      <c r="E34" t="s">
        <v>95</v>
      </c>
      <c r="F34" t="s">
        <v>90</v>
      </c>
      <c r="G34">
        <v>333.3259528</v>
      </c>
      <c r="H34" t="s">
        <v>156</v>
      </c>
    </row>
    <row r="35" spans="1:8" x14ac:dyDescent="0.25">
      <c r="A35" t="s">
        <v>132</v>
      </c>
      <c r="B35">
        <v>87307</v>
      </c>
      <c r="C35" t="s">
        <v>171</v>
      </c>
      <c r="D35">
        <v>370</v>
      </c>
      <c r="E35" t="s">
        <v>86</v>
      </c>
      <c r="F35" t="s">
        <v>87</v>
      </c>
      <c r="G35">
        <v>1.4814487</v>
      </c>
      <c r="H35" t="s">
        <v>156</v>
      </c>
    </row>
    <row r="36" spans="1:8" x14ac:dyDescent="0.25">
      <c r="A36" t="s">
        <v>135</v>
      </c>
      <c r="B36">
        <v>88831</v>
      </c>
      <c r="E36" t="s">
        <v>136</v>
      </c>
      <c r="F36" t="s">
        <v>137</v>
      </c>
      <c r="H36" t="s">
        <v>160</v>
      </c>
    </row>
    <row r="37" spans="1:8" x14ac:dyDescent="0.25">
      <c r="A37" t="s">
        <v>135</v>
      </c>
      <c r="B37">
        <v>88831</v>
      </c>
      <c r="C37" t="s">
        <v>170</v>
      </c>
      <c r="D37">
        <v>88827</v>
      </c>
      <c r="E37" t="s">
        <v>142</v>
      </c>
      <c r="F37" t="s">
        <v>83</v>
      </c>
      <c r="G37">
        <v>1</v>
      </c>
      <c r="H37" t="s">
        <v>160</v>
      </c>
    </row>
    <row r="38" spans="1:8" x14ac:dyDescent="0.25">
      <c r="A38" t="s">
        <v>135</v>
      </c>
      <c r="B38">
        <v>88831</v>
      </c>
      <c r="C38" t="s">
        <v>170</v>
      </c>
      <c r="D38">
        <v>88826</v>
      </c>
      <c r="E38" t="s">
        <v>141</v>
      </c>
      <c r="F38" t="s">
        <v>83</v>
      </c>
      <c r="G38">
        <v>1</v>
      </c>
      <c r="H38" t="s">
        <v>160</v>
      </c>
    </row>
    <row r="39" spans="1:8" x14ac:dyDescent="0.25">
      <c r="A39" t="s">
        <v>135</v>
      </c>
      <c r="B39">
        <v>88830</v>
      </c>
      <c r="E39" t="s">
        <v>138</v>
      </c>
      <c r="F39" t="s">
        <v>139</v>
      </c>
      <c r="H39" t="s">
        <v>160</v>
      </c>
    </row>
    <row r="40" spans="1:8" x14ac:dyDescent="0.25">
      <c r="A40" t="s">
        <v>135</v>
      </c>
      <c r="B40">
        <v>88830</v>
      </c>
      <c r="C40" t="s">
        <v>170</v>
      </c>
      <c r="D40">
        <v>88829</v>
      </c>
      <c r="E40" t="s">
        <v>144</v>
      </c>
      <c r="F40" t="s">
        <v>83</v>
      </c>
      <c r="G40">
        <v>1</v>
      </c>
      <c r="H40" t="s">
        <v>160</v>
      </c>
    </row>
    <row r="41" spans="1:8" x14ac:dyDescent="0.25">
      <c r="A41" t="s">
        <v>135</v>
      </c>
      <c r="B41">
        <v>88830</v>
      </c>
      <c r="C41" t="s">
        <v>170</v>
      </c>
      <c r="D41">
        <v>88828</v>
      </c>
      <c r="E41" t="s">
        <v>143</v>
      </c>
      <c r="F41" t="s">
        <v>83</v>
      </c>
      <c r="G41">
        <v>1</v>
      </c>
      <c r="H41" t="s">
        <v>160</v>
      </c>
    </row>
    <row r="42" spans="1:8" x14ac:dyDescent="0.25">
      <c r="A42" t="s">
        <v>135</v>
      </c>
      <c r="B42">
        <v>88830</v>
      </c>
      <c r="C42" t="s">
        <v>170</v>
      </c>
      <c r="D42">
        <v>88827</v>
      </c>
      <c r="E42" t="s">
        <v>142</v>
      </c>
      <c r="F42" t="s">
        <v>83</v>
      </c>
      <c r="G42">
        <v>1</v>
      </c>
      <c r="H42" t="s">
        <v>160</v>
      </c>
    </row>
    <row r="43" spans="1:8" x14ac:dyDescent="0.25">
      <c r="A43" t="s">
        <v>135</v>
      </c>
      <c r="B43">
        <v>88830</v>
      </c>
      <c r="C43" t="s">
        <v>170</v>
      </c>
      <c r="D43">
        <v>88826</v>
      </c>
      <c r="E43" t="s">
        <v>141</v>
      </c>
      <c r="F43" t="s">
        <v>83</v>
      </c>
      <c r="G43">
        <v>1</v>
      </c>
      <c r="H43" t="s">
        <v>160</v>
      </c>
    </row>
    <row r="44" spans="1:8" x14ac:dyDescent="0.25">
      <c r="A44" t="s">
        <v>140</v>
      </c>
      <c r="B44">
        <v>88826</v>
      </c>
      <c r="E44" t="s">
        <v>141</v>
      </c>
      <c r="F44" t="s">
        <v>83</v>
      </c>
      <c r="H44" t="s">
        <v>160</v>
      </c>
    </row>
    <row r="45" spans="1:8" x14ac:dyDescent="0.25">
      <c r="A45" t="s">
        <v>140</v>
      </c>
      <c r="B45">
        <v>88826</v>
      </c>
      <c r="C45" t="s">
        <v>171</v>
      </c>
      <c r="D45">
        <v>10535</v>
      </c>
      <c r="E45" t="s">
        <v>92</v>
      </c>
      <c r="F45" t="s">
        <v>93</v>
      </c>
      <c r="G45">
        <v>0.000064</v>
      </c>
      <c r="H45" t="s">
        <v>156</v>
      </c>
    </row>
    <row r="46" spans="1:8" x14ac:dyDescent="0.25">
      <c r="A46" t="s">
        <v>140</v>
      </c>
      <c r="B46">
        <v>88827</v>
      </c>
      <c r="E46" t="s">
        <v>142</v>
      </c>
      <c r="F46" t="s">
        <v>83</v>
      </c>
      <c r="H46" t="s">
        <v>160</v>
      </c>
    </row>
    <row r="47" spans="1:8" x14ac:dyDescent="0.25">
      <c r="A47" t="s">
        <v>140</v>
      </c>
      <c r="B47">
        <v>88827</v>
      </c>
      <c r="C47" t="s">
        <v>171</v>
      </c>
      <c r="D47">
        <v>10535</v>
      </c>
      <c r="E47" t="s">
        <v>92</v>
      </c>
      <c r="F47" t="s">
        <v>93</v>
      </c>
      <c r="G47">
        <v>0.0000148</v>
      </c>
      <c r="H47" t="s">
        <v>156</v>
      </c>
    </row>
    <row r="48" spans="1:8" x14ac:dyDescent="0.25">
      <c r="A48" t="s">
        <v>140</v>
      </c>
      <c r="B48">
        <v>88828</v>
      </c>
      <c r="E48" t="s">
        <v>143</v>
      </c>
      <c r="F48" t="s">
        <v>83</v>
      </c>
      <c r="H48" t="s">
        <v>160</v>
      </c>
    </row>
    <row r="49" spans="1:8" x14ac:dyDescent="0.25">
      <c r="A49" t="s">
        <v>140</v>
      </c>
      <c r="B49">
        <v>88828</v>
      </c>
      <c r="C49" t="s">
        <v>171</v>
      </c>
      <c r="D49">
        <v>10535</v>
      </c>
      <c r="E49" t="s">
        <v>92</v>
      </c>
      <c r="F49" t="s">
        <v>93</v>
      </c>
      <c r="G49">
        <v>0.00007</v>
      </c>
      <c r="H49" t="s">
        <v>156</v>
      </c>
    </row>
    <row r="50" spans="1:8" x14ac:dyDescent="0.25">
      <c r="A50" t="s">
        <v>140</v>
      </c>
      <c r="B50">
        <v>88829</v>
      </c>
      <c r="E50" t="s">
        <v>144</v>
      </c>
      <c r="F50" t="s">
        <v>83</v>
      </c>
      <c r="H50" t="s">
        <v>160</v>
      </c>
    </row>
    <row r="51" spans="1:8" x14ac:dyDescent="0.25">
      <c r="A51" t="s">
        <v>140</v>
      </c>
      <c r="B51">
        <v>88829</v>
      </c>
      <c r="C51" t="s">
        <v>171</v>
      </c>
      <c r="D51">
        <v>2705</v>
      </c>
      <c r="E51" t="s">
        <v>97</v>
      </c>
      <c r="F51" t="s">
        <v>98</v>
      </c>
      <c r="G51">
        <v>1.25</v>
      </c>
      <c r="H51" t="s">
        <v>156</v>
      </c>
    </row>
    <row r="52" spans="1:8" x14ac:dyDescent="0.25">
      <c r="A52" t="s">
        <v>145</v>
      </c>
      <c r="B52">
        <v>95389</v>
      </c>
      <c r="E52" t="s">
        <v>146</v>
      </c>
      <c r="F52" t="s">
        <v>83</v>
      </c>
      <c r="H52" t="s">
        <v>160</v>
      </c>
    </row>
    <row r="53" spans="1:8" x14ac:dyDescent="0.25">
      <c r="A53" t="s">
        <v>145</v>
      </c>
      <c r="B53">
        <v>95389</v>
      </c>
      <c r="C53" t="s">
        <v>171</v>
      </c>
      <c r="D53">
        <v>37666</v>
      </c>
      <c r="E53" t="s">
        <v>107</v>
      </c>
      <c r="F53" t="s">
        <v>83</v>
      </c>
      <c r="G53">
        <v>0.00831</v>
      </c>
      <c r="H53" t="s">
        <v>156</v>
      </c>
    </row>
    <row r="54" spans="1:8" x14ac:dyDescent="0.25">
      <c r="A54" t="s">
        <v>145</v>
      </c>
      <c r="B54">
        <v>95371</v>
      </c>
      <c r="E54" t="s">
        <v>147</v>
      </c>
      <c r="F54" t="s">
        <v>83</v>
      </c>
      <c r="H54" t="s">
        <v>160</v>
      </c>
    </row>
    <row r="55" spans="1:8" x14ac:dyDescent="0.25">
      <c r="A55" t="s">
        <v>145</v>
      </c>
      <c r="B55">
        <v>95371</v>
      </c>
      <c r="C55" t="s">
        <v>171</v>
      </c>
      <c r="D55">
        <v>4750</v>
      </c>
      <c r="E55" t="s">
        <v>108</v>
      </c>
      <c r="F55" t="s">
        <v>83</v>
      </c>
      <c r="G55">
        <v>0.0212</v>
      </c>
      <c r="H55" t="s">
        <v>156</v>
      </c>
    </row>
    <row r="56" spans="1:8" x14ac:dyDescent="0.25">
      <c r="A56" t="s">
        <v>145</v>
      </c>
      <c r="B56">
        <v>95378</v>
      </c>
      <c r="E56" t="s">
        <v>148</v>
      </c>
      <c r="F56" t="s">
        <v>83</v>
      </c>
      <c r="H56" t="s">
        <v>160</v>
      </c>
    </row>
    <row r="57" spans="1:8" x14ac:dyDescent="0.25">
      <c r="A57" t="s">
        <v>145</v>
      </c>
      <c r="B57">
        <v>95378</v>
      </c>
      <c r="C57" t="s">
        <v>171</v>
      </c>
      <c r="D57">
        <v>6111</v>
      </c>
      <c r="E57" t="s">
        <v>112</v>
      </c>
      <c r="F57" t="s">
        <v>83</v>
      </c>
      <c r="G57">
        <v>0.0212</v>
      </c>
      <c r="H57" t="s">
        <v>156</v>
      </c>
    </row>
    <row r="58" spans="1:8" x14ac:dyDescent="0.25">
      <c r="A58" t="s">
        <v>145</v>
      </c>
      <c r="B58">
        <v>88377</v>
      </c>
      <c r="E58" t="s">
        <v>149</v>
      </c>
      <c r="F58" t="s">
        <v>83</v>
      </c>
      <c r="H58" t="s">
        <v>160</v>
      </c>
    </row>
    <row r="59" spans="1:8" x14ac:dyDescent="0.25">
      <c r="A59" t="s">
        <v>145</v>
      </c>
      <c r="B59">
        <v>88377</v>
      </c>
      <c r="C59" t="s">
        <v>170</v>
      </c>
      <c r="D59">
        <v>95389</v>
      </c>
      <c r="E59" t="s">
        <v>146</v>
      </c>
      <c r="F59" t="s">
        <v>83</v>
      </c>
      <c r="G59">
        <v>1</v>
      </c>
      <c r="H59" t="s">
        <v>160</v>
      </c>
    </row>
    <row r="60" spans="1:8" x14ac:dyDescent="0.25">
      <c r="A60" t="s">
        <v>145</v>
      </c>
      <c r="B60">
        <v>88377</v>
      </c>
      <c r="C60" t="s">
        <v>171</v>
      </c>
      <c r="D60">
        <v>43488</v>
      </c>
      <c r="E60" t="s">
        <v>99</v>
      </c>
      <c r="F60" t="s">
        <v>83</v>
      </c>
      <c r="G60">
        <v>1</v>
      </c>
      <c r="H60" t="s">
        <v>156</v>
      </c>
    </row>
    <row r="61" spans="1:8" x14ac:dyDescent="0.25">
      <c r="A61" t="s">
        <v>145</v>
      </c>
      <c r="B61">
        <v>88377</v>
      </c>
      <c r="C61" t="s">
        <v>171</v>
      </c>
      <c r="D61">
        <v>43464</v>
      </c>
      <c r="E61" t="s">
        <v>103</v>
      </c>
      <c r="F61" t="s">
        <v>83</v>
      </c>
      <c r="G61">
        <v>1</v>
      </c>
      <c r="H61" t="s">
        <v>156</v>
      </c>
    </row>
    <row r="62" spans="1:8" x14ac:dyDescent="0.25">
      <c r="A62" t="s">
        <v>145</v>
      </c>
      <c r="B62">
        <v>88377</v>
      </c>
      <c r="C62" t="s">
        <v>171</v>
      </c>
      <c r="D62">
        <v>37666</v>
      </c>
      <c r="E62" t="s">
        <v>107</v>
      </c>
      <c r="F62" t="s">
        <v>83</v>
      </c>
      <c r="G62">
        <v>1</v>
      </c>
      <c r="H62" t="s">
        <v>156</v>
      </c>
    </row>
    <row r="63" spans="1:8" x14ac:dyDescent="0.25">
      <c r="A63" t="s">
        <v>145</v>
      </c>
      <c r="B63">
        <v>88377</v>
      </c>
      <c r="C63" t="s">
        <v>171</v>
      </c>
      <c r="D63">
        <v>37373</v>
      </c>
      <c r="E63" t="s">
        <v>111</v>
      </c>
      <c r="F63" t="s">
        <v>83</v>
      </c>
      <c r="G63">
        <v>1</v>
      </c>
      <c r="H63" t="s">
        <v>156</v>
      </c>
    </row>
    <row r="64" spans="1:8" x14ac:dyDescent="0.25">
      <c r="A64" t="s">
        <v>145</v>
      </c>
      <c r="B64">
        <v>88377</v>
      </c>
      <c r="C64" t="s">
        <v>171</v>
      </c>
      <c r="D64">
        <v>37372</v>
      </c>
      <c r="E64" t="s">
        <v>102</v>
      </c>
      <c r="F64" t="s">
        <v>83</v>
      </c>
      <c r="G64">
        <v>1</v>
      </c>
      <c r="H64" t="s">
        <v>156</v>
      </c>
    </row>
    <row r="65" spans="1:8" x14ac:dyDescent="0.25">
      <c r="A65" t="s">
        <v>145</v>
      </c>
      <c r="B65">
        <v>88377</v>
      </c>
      <c r="C65" t="s">
        <v>171</v>
      </c>
      <c r="D65">
        <v>37371</v>
      </c>
      <c r="E65" t="s">
        <v>113</v>
      </c>
      <c r="F65" t="s">
        <v>83</v>
      </c>
      <c r="G65">
        <v>1</v>
      </c>
      <c r="H65" t="s">
        <v>156</v>
      </c>
    </row>
    <row r="66" spans="1:8" x14ac:dyDescent="0.25">
      <c r="A66" t="s">
        <v>145</v>
      </c>
      <c r="B66">
        <v>88377</v>
      </c>
      <c r="C66" t="s">
        <v>171</v>
      </c>
      <c r="D66">
        <v>37370</v>
      </c>
      <c r="E66" t="s">
        <v>82</v>
      </c>
      <c r="F66" t="s">
        <v>83</v>
      </c>
      <c r="G66">
        <v>1</v>
      </c>
      <c r="H66" t="s">
        <v>156</v>
      </c>
    </row>
    <row r="67" spans="1:8" x14ac:dyDescent="0.25">
      <c r="A67" t="s">
        <v>145</v>
      </c>
      <c r="B67">
        <v>88309</v>
      </c>
      <c r="E67" t="s">
        <v>150</v>
      </c>
      <c r="F67" t="s">
        <v>83</v>
      </c>
      <c r="H67" t="s">
        <v>160</v>
      </c>
    </row>
    <row r="68" spans="1:8" x14ac:dyDescent="0.25">
      <c r="A68" t="s">
        <v>145</v>
      </c>
      <c r="B68">
        <v>88309</v>
      </c>
      <c r="C68" t="s">
        <v>170</v>
      </c>
      <c r="D68">
        <v>95371</v>
      </c>
      <c r="E68" t="s">
        <v>147</v>
      </c>
      <c r="F68" t="s">
        <v>83</v>
      </c>
      <c r="G68">
        <v>1</v>
      </c>
      <c r="H68" t="s">
        <v>160</v>
      </c>
    </row>
    <row r="69" spans="1:8" x14ac:dyDescent="0.25">
      <c r="A69" t="s">
        <v>145</v>
      </c>
      <c r="B69">
        <v>88309</v>
      </c>
      <c r="C69" t="s">
        <v>171</v>
      </c>
      <c r="D69">
        <v>43489</v>
      </c>
      <c r="E69" t="s">
        <v>100</v>
      </c>
      <c r="F69" t="s">
        <v>83</v>
      </c>
      <c r="G69">
        <v>1</v>
      </c>
      <c r="H69" t="s">
        <v>156</v>
      </c>
    </row>
    <row r="70" spans="1:8" x14ac:dyDescent="0.25">
      <c r="A70" t="s">
        <v>145</v>
      </c>
      <c r="B70">
        <v>88309</v>
      </c>
      <c r="C70" t="s">
        <v>171</v>
      </c>
      <c r="D70">
        <v>43465</v>
      </c>
      <c r="E70" t="s">
        <v>104</v>
      </c>
      <c r="F70" t="s">
        <v>83</v>
      </c>
      <c r="G70">
        <v>1</v>
      </c>
      <c r="H70" t="s">
        <v>156</v>
      </c>
    </row>
    <row r="71" spans="1:8" x14ac:dyDescent="0.25">
      <c r="A71" t="s">
        <v>145</v>
      </c>
      <c r="B71">
        <v>88309</v>
      </c>
      <c r="C71" t="s">
        <v>171</v>
      </c>
      <c r="D71">
        <v>37373</v>
      </c>
      <c r="E71" t="s">
        <v>111</v>
      </c>
      <c r="F71" t="s">
        <v>83</v>
      </c>
      <c r="G71">
        <v>1</v>
      </c>
      <c r="H71" t="s">
        <v>156</v>
      </c>
    </row>
    <row r="72" spans="1:8" x14ac:dyDescent="0.25">
      <c r="A72" t="s">
        <v>145</v>
      </c>
      <c r="B72">
        <v>88309</v>
      </c>
      <c r="C72" t="s">
        <v>171</v>
      </c>
      <c r="D72">
        <v>37372</v>
      </c>
      <c r="E72" t="s">
        <v>102</v>
      </c>
      <c r="F72" t="s">
        <v>83</v>
      </c>
      <c r="G72">
        <v>1</v>
      </c>
      <c r="H72" t="s">
        <v>156</v>
      </c>
    </row>
    <row r="73" spans="1:8" x14ac:dyDescent="0.25">
      <c r="A73" t="s">
        <v>145</v>
      </c>
      <c r="B73">
        <v>88309</v>
      </c>
      <c r="C73" t="s">
        <v>171</v>
      </c>
      <c r="D73">
        <v>37371</v>
      </c>
      <c r="E73" t="s">
        <v>113</v>
      </c>
      <c r="F73" t="s">
        <v>83</v>
      </c>
      <c r="G73">
        <v>1</v>
      </c>
      <c r="H73" t="s">
        <v>156</v>
      </c>
    </row>
    <row r="74" spans="1:8" x14ac:dyDescent="0.25">
      <c r="A74" t="s">
        <v>145</v>
      </c>
      <c r="B74">
        <v>88309</v>
      </c>
      <c r="C74" t="s">
        <v>171</v>
      </c>
      <c r="D74">
        <v>37370</v>
      </c>
      <c r="E74" t="s">
        <v>82</v>
      </c>
      <c r="F74" t="s">
        <v>83</v>
      </c>
      <c r="G74">
        <v>1</v>
      </c>
      <c r="H74" t="s">
        <v>156</v>
      </c>
    </row>
    <row r="75" spans="1:8" x14ac:dyDescent="0.25">
      <c r="A75" t="s">
        <v>145</v>
      </c>
      <c r="B75">
        <v>88309</v>
      </c>
      <c r="C75" t="s">
        <v>171</v>
      </c>
      <c r="D75">
        <v>4750</v>
      </c>
      <c r="E75" t="s">
        <v>108</v>
      </c>
      <c r="F75" t="s">
        <v>83</v>
      </c>
      <c r="G75">
        <v>1</v>
      </c>
      <c r="H75" t="s">
        <v>156</v>
      </c>
    </row>
    <row r="76" spans="1:8" x14ac:dyDescent="0.25">
      <c r="A76" t="s">
        <v>145</v>
      </c>
      <c r="B76">
        <v>88316</v>
      </c>
      <c r="E76" t="s">
        <v>151</v>
      </c>
      <c r="F76" t="s">
        <v>83</v>
      </c>
      <c r="H76" t="s">
        <v>160</v>
      </c>
    </row>
    <row r="77" spans="1:8" x14ac:dyDescent="0.25">
      <c r="A77" t="s">
        <v>145</v>
      </c>
      <c r="B77">
        <v>88316</v>
      </c>
      <c r="C77" t="s">
        <v>170</v>
      </c>
      <c r="D77">
        <v>95378</v>
      </c>
      <c r="E77" t="s">
        <v>148</v>
      </c>
      <c r="F77" t="s">
        <v>83</v>
      </c>
      <c r="G77">
        <v>1</v>
      </c>
      <c r="H77" t="s">
        <v>160</v>
      </c>
    </row>
    <row r="78" spans="1:8" x14ac:dyDescent="0.25">
      <c r="A78" t="s">
        <v>145</v>
      </c>
      <c r="B78">
        <v>88316</v>
      </c>
      <c r="C78" t="s">
        <v>171</v>
      </c>
      <c r="D78">
        <v>43491</v>
      </c>
      <c r="E78" t="s">
        <v>101</v>
      </c>
      <c r="F78" t="s">
        <v>83</v>
      </c>
      <c r="G78">
        <v>1</v>
      </c>
      <c r="H78" t="s">
        <v>156</v>
      </c>
    </row>
    <row r="79" spans="1:8" x14ac:dyDescent="0.25">
      <c r="A79" t="s">
        <v>145</v>
      </c>
      <c r="B79">
        <v>88316</v>
      </c>
      <c r="C79" t="s">
        <v>171</v>
      </c>
      <c r="D79">
        <v>43467</v>
      </c>
      <c r="E79" t="s">
        <v>105</v>
      </c>
      <c r="F79" t="s">
        <v>83</v>
      </c>
      <c r="G79">
        <v>1</v>
      </c>
      <c r="H79" t="s">
        <v>156</v>
      </c>
    </row>
    <row r="80" spans="1:8" x14ac:dyDescent="0.25">
      <c r="A80" t="s">
        <v>145</v>
      </c>
      <c r="B80">
        <v>88316</v>
      </c>
      <c r="C80" t="s">
        <v>171</v>
      </c>
      <c r="D80">
        <v>37373</v>
      </c>
      <c r="E80" t="s">
        <v>111</v>
      </c>
      <c r="F80" t="s">
        <v>83</v>
      </c>
      <c r="G80">
        <v>1</v>
      </c>
      <c r="H80" t="s">
        <v>156</v>
      </c>
    </row>
    <row r="81" spans="1:8" x14ac:dyDescent="0.25">
      <c r="A81" t="s">
        <v>145</v>
      </c>
      <c r="B81">
        <v>88316</v>
      </c>
      <c r="C81" t="s">
        <v>171</v>
      </c>
      <c r="D81">
        <v>37372</v>
      </c>
      <c r="E81" t="s">
        <v>102</v>
      </c>
      <c r="F81" t="s">
        <v>83</v>
      </c>
      <c r="G81">
        <v>1</v>
      </c>
      <c r="H81" t="s">
        <v>156</v>
      </c>
    </row>
    <row r="82" spans="1:8" x14ac:dyDescent="0.25">
      <c r="A82" t="s">
        <v>145</v>
      </c>
      <c r="B82">
        <v>88316</v>
      </c>
      <c r="C82" t="s">
        <v>171</v>
      </c>
      <c r="D82">
        <v>37371</v>
      </c>
      <c r="E82" t="s">
        <v>113</v>
      </c>
      <c r="F82" t="s">
        <v>83</v>
      </c>
      <c r="G82">
        <v>1</v>
      </c>
      <c r="H82" t="s">
        <v>156</v>
      </c>
    </row>
    <row r="83" spans="1:8" x14ac:dyDescent="0.25">
      <c r="A83" t="s">
        <v>145</v>
      </c>
      <c r="B83">
        <v>88316</v>
      </c>
      <c r="C83" t="s">
        <v>171</v>
      </c>
      <c r="D83">
        <v>37370</v>
      </c>
      <c r="E83" t="s">
        <v>82</v>
      </c>
      <c r="F83" t="s">
        <v>83</v>
      </c>
      <c r="G83">
        <v>1</v>
      </c>
      <c r="H83" t="s">
        <v>156</v>
      </c>
    </row>
    <row r="84" spans="1:8" x14ac:dyDescent="0.25">
      <c r="A84" t="s">
        <v>145</v>
      </c>
      <c r="B84">
        <v>88316</v>
      </c>
      <c r="C84" t="s">
        <v>171</v>
      </c>
      <c r="D84">
        <v>6111</v>
      </c>
      <c r="E84" t="s">
        <v>112</v>
      </c>
      <c r="F84" t="s">
        <v>83</v>
      </c>
      <c r="G84">
        <v>1</v>
      </c>
      <c r="H8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Menu</vt:lpstr>
      <vt:lpstr>ISD</vt:lpstr>
      <vt:lpstr>ICD</vt:lpstr>
      <vt:lpstr>ISE</vt:lpstr>
      <vt:lpstr>CSD</vt:lpstr>
      <vt:lpstr>CCD</vt:lpstr>
      <vt:lpstr>CSE</vt:lpstr>
      <vt:lpstr>Analítico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2026-09-14T19:29:55Z</dcterms:created>
  <dcterms:modified xsi:type="dcterms:W3CDTF">2026-09-14T19:29:55Z</dcterms:modified>
</cp:coreProperties>
</file>